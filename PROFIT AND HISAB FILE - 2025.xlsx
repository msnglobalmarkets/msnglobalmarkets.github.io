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B-2025" sheetId="1" r:id="rId4"/>
    <sheet state="visible" name="MARCH-2025" sheetId="2" r:id="rId5"/>
    <sheet state="visible" name="APRIL-2025" sheetId="3" r:id="rId6"/>
    <sheet state="visible" name="MAY-2025" sheetId="4" r:id="rId7"/>
    <sheet state="visible" name="JUNE-2025" sheetId="5" r:id="rId8"/>
    <sheet state="visible" name="JULY-2025" sheetId="6" r:id="rId9"/>
    <sheet state="visible" name="AUG-2025" sheetId="7" r:id="rId10"/>
    <sheet state="visible" name="SEPT-2025" sheetId="8" r:id="rId11"/>
    <sheet state="visible" name="OCT-2025" sheetId="9" r:id="rId12"/>
    <sheet state="visible" name="NOV-2025" sheetId="10" r:id="rId13"/>
    <sheet state="visible" name="payout-Nov" sheetId="11" r:id="rId14"/>
    <sheet state="visible" name="DEC-2025" sheetId="12" r:id="rId15"/>
    <sheet state="visible" name="payout-Dec" sheetId="13" r:id="rId16"/>
    <sheet state="visible" name="Profit-2025" sheetId="14" r:id="rId17"/>
  </sheets>
  <definedNames>
    <definedName hidden="1" localSheetId="11" name="_xlnm._FilterDatabase">'DEC-2025'!$B$1:$B$997</definedName>
  </definedNames>
  <calcPr/>
  <extLst>
    <ext uri="GoogleSheetsCustomDataVersion2">
      <go:sheetsCustomData xmlns:go="http://customooxmlschemas.google.com/" r:id="rId18" roundtripDataChecksum="KHsoXTJNr+nt7CxfRnd4hOVXz5UigeBLpTyDYtLRFB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2">
      <text>
        <t xml:space="preserve">======
ID#AAABtSUAYVc
Niket Shah    (2025-10-28 21:11:38)
40000 INVESTMENT 2331 PROFIT REINVESTED 2000 MEET INVESTED ADDITIONAL</t>
      </text>
    </comment>
    <comment authorId="0" ref="C25">
      <text>
        <t xml:space="preserve">======
ID#AAABtSUAYVY
Niket Shah    (2025-10-28 21:10:14)
LESS 6000</t>
      </text>
    </comment>
    <comment authorId="0" ref="C23">
      <text>
        <t xml:space="preserve">======
ID#AAABtSUAYVU
Niket Shah    (2025-10-28 21:09:37)
ADD 1500</t>
      </text>
    </comment>
    <comment authorId="0" ref="C22">
      <text>
        <t xml:space="preserve">======
ID#AAABtSUAYVQ
Niket Shah    (2025-10-28 21:09:10)
ADD 4500</t>
      </text>
    </comment>
  </commentList>
  <extLst>
    <ext uri="GoogleSheetsCustomDataVersion2">
      <go:sheetsCustomData xmlns:go="http://customooxmlschemas.google.com/" r:id="rId1" roundtripDataSignature="AMtx7miyo/VlmsOIMHRbqHRmosPFvVb7B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2">
      <text>
        <t xml:space="preserve">======
ID#AAABtSUAYVg
Niket Shah    (2025-10-28 21:20:55)
40000 INVESTMENT 2000 MEET</t>
      </text>
    </comment>
  </commentList>
  <extLst>
    <ext uri="GoogleSheetsCustomDataVersion2">
      <go:sheetsCustomData xmlns:go="http://customooxmlschemas.google.com/" r:id="rId1" roundtripDataSignature="AMtx7misImn0L+0FtMwNwi9YkHkPjt8ufw=="/>
    </ext>
  </extLst>
</comments>
</file>

<file path=xl/sharedStrings.xml><?xml version="1.0" encoding="utf-8"?>
<sst xmlns="http://schemas.openxmlformats.org/spreadsheetml/2006/main" count="1114" uniqueCount="213">
  <si>
    <t>WITHDRAWAL SHEET</t>
  </si>
  <si>
    <t>maitry</t>
  </si>
  <si>
    <t>ava</t>
  </si>
  <si>
    <t xml:space="preserve">maitry </t>
  </si>
  <si>
    <t>jkv</t>
  </si>
  <si>
    <t>mex</t>
  </si>
  <si>
    <t xml:space="preserve">meet </t>
  </si>
  <si>
    <t>niket</t>
  </si>
  <si>
    <t>binance</t>
  </si>
  <si>
    <t>purnima</t>
  </si>
  <si>
    <t>krina</t>
  </si>
  <si>
    <t>pankti</t>
  </si>
  <si>
    <t>jagdish sir</t>
  </si>
  <si>
    <t>nehamam</t>
  </si>
  <si>
    <t>parmarsir</t>
  </si>
  <si>
    <t>ankit vishal</t>
  </si>
  <si>
    <t>jaydeepsinh chauhan</t>
  </si>
  <si>
    <t>1200 PAY</t>
  </si>
  <si>
    <t>TOTAL</t>
  </si>
  <si>
    <t>JKV</t>
  </si>
  <si>
    <t>AVA</t>
  </si>
  <si>
    <t>MEX</t>
  </si>
  <si>
    <t>D</t>
  </si>
  <si>
    <t>d</t>
  </si>
  <si>
    <t>m</t>
  </si>
  <si>
    <t>rec</t>
  </si>
  <si>
    <t>NO PROFIT SHARE</t>
  </si>
  <si>
    <t>NIKET</t>
  </si>
  <si>
    <t>INVESTMENT</t>
  </si>
  <si>
    <t>PROFIT</t>
  </si>
  <si>
    <t>LOSS/PROFIT</t>
  </si>
  <si>
    <t>BALANCE</t>
  </si>
  <si>
    <t>dhwani - silver,euro</t>
  </si>
  <si>
    <t>mex 31</t>
  </si>
  <si>
    <t>niket-gbpusd.usdjpy</t>
  </si>
  <si>
    <t>mex 64</t>
  </si>
  <si>
    <t>mex 69</t>
  </si>
  <si>
    <t>mex 32</t>
  </si>
  <si>
    <t>profit reinvested so capital 40000 $ and balance 40000$</t>
  </si>
  <si>
    <t>dhwani</t>
  </si>
  <si>
    <t>tushar</t>
  </si>
  <si>
    <t>parv</t>
  </si>
  <si>
    <t>sahil</t>
  </si>
  <si>
    <t xml:space="preserve"> </t>
  </si>
  <si>
    <t>jkv 870</t>
  </si>
  <si>
    <t>jkv 871</t>
  </si>
  <si>
    <t>mex 872</t>
  </si>
  <si>
    <t>ava-957</t>
  </si>
  <si>
    <t>ava-241</t>
  </si>
  <si>
    <t>jkv-469</t>
  </si>
  <si>
    <t>mex-785</t>
  </si>
  <si>
    <t>jkv-627</t>
  </si>
  <si>
    <t>MEX-826</t>
  </si>
  <si>
    <t>MEX-810</t>
  </si>
  <si>
    <t>jagdish sir -atri</t>
  </si>
  <si>
    <t>jkv-250</t>
  </si>
  <si>
    <t>daman</t>
  </si>
  <si>
    <t>Sharing</t>
  </si>
  <si>
    <t>DAMAN</t>
  </si>
  <si>
    <t>NIKET HUF</t>
  </si>
  <si>
    <t>VARSHABEN</t>
  </si>
  <si>
    <t>PROFIT FROM ARBITRAGE</t>
  </si>
  <si>
    <t>JULY AND AUG</t>
  </si>
  <si>
    <t>with 1000 $ its meets money</t>
  </si>
  <si>
    <t>mex-335</t>
  </si>
  <si>
    <t>Mex-399</t>
  </si>
  <si>
    <t>OURS</t>
  </si>
  <si>
    <t>PROFIT SHARING</t>
  </si>
  <si>
    <t>ARBITRAGE PROFIT</t>
  </si>
  <si>
    <t>OTHER PAYOUTS</t>
  </si>
  <si>
    <t>SANGHVI RIYA</t>
  </si>
  <si>
    <t>MEX-431</t>
  </si>
  <si>
    <t>PARV VORA</t>
  </si>
  <si>
    <t>JKV-554</t>
  </si>
  <si>
    <t>CHAUHAN JAYDEEPSING</t>
  </si>
  <si>
    <t>JKV-530</t>
  </si>
  <si>
    <t>JAYDEEPSING CHAUHAN</t>
  </si>
  <si>
    <t>DAMAN-192</t>
  </si>
  <si>
    <t>MAITRY 131</t>
  </si>
  <si>
    <t>MET MEX -064</t>
  </si>
  <si>
    <t>MEET WITHDRAW</t>
  </si>
  <si>
    <t>MEET PAY</t>
  </si>
  <si>
    <t>MEET PAY TO VARSHABEN</t>
  </si>
  <si>
    <t>NIKET WILL PAY TO VARSHABEN</t>
  </si>
  <si>
    <t>SIFTING TO HELLY ACCOUNT</t>
  </si>
  <si>
    <t>484 $ MEET</t>
  </si>
  <si>
    <t xml:space="preserve">    </t>
  </si>
  <si>
    <t>MEX-075</t>
  </si>
  <si>
    <t>28/10/2025</t>
  </si>
  <si>
    <t>3000 + OCT</t>
  </si>
  <si>
    <t>1500 - Oct</t>
  </si>
  <si>
    <t>1000+ OCT</t>
  </si>
  <si>
    <t>2500 + OCT</t>
  </si>
  <si>
    <t>helly</t>
  </si>
  <si>
    <t>meet will take 1000 $ reserve with him</t>
  </si>
  <si>
    <t xml:space="preserve">WE WILL ADD TOTAL PROFIT 1247 IN MEET MEX 032 ACCOUNT </t>
  </si>
  <si>
    <t>300 $ withdraw</t>
  </si>
  <si>
    <t>1500 $ WITHDRAW</t>
  </si>
  <si>
    <t>1500  $ ADD</t>
  </si>
  <si>
    <t>SHAH ABHAYBHAI KANTILAL</t>
  </si>
  <si>
    <t>MEX-126</t>
  </si>
  <si>
    <t>PARMAR MUKESH GUNVANTLAL</t>
  </si>
  <si>
    <t>MEX-131</t>
  </si>
  <si>
    <t>600 $ WITHDRAW</t>
  </si>
  <si>
    <t xml:space="preserve">                                                                                                                                                                                                             </t>
  </si>
  <si>
    <t>ARBITRAGE</t>
  </si>
  <si>
    <t>meet will take 1000 $ ALREADY PAID TO PASHVA</t>
  </si>
  <si>
    <t xml:space="preserve">TOTAL 2000 $ WITHDRAW </t>
  </si>
  <si>
    <t>225 LAST MONTH NOT YET WITHDRAWAL</t>
  </si>
  <si>
    <t>NEHAMAN</t>
  </si>
  <si>
    <t>jkv-738</t>
  </si>
  <si>
    <t>mex-894</t>
  </si>
  <si>
    <t>U CHECK</t>
  </si>
  <si>
    <t xml:space="preserve">WE WILL ADD TOTAL PROFIT 2000 IN MEET MEX 032 ACCOUNT </t>
  </si>
  <si>
    <t>PROFIT SHARING 1113 $</t>
  </si>
  <si>
    <t>INDIVIDUAL 556 $</t>
  </si>
  <si>
    <t>NIKET 556 $ SHARING ADD TO DHWANI NIKET SHAH JKV-MT5-502541</t>
  </si>
  <si>
    <t>PARMAR SIR</t>
  </si>
  <si>
    <t xml:space="preserve">SHAH ABHAYBHAI </t>
  </si>
  <si>
    <t>CHETAN BABULAL</t>
  </si>
  <si>
    <t>MEX-601</t>
  </si>
  <si>
    <t>MEX-434</t>
  </si>
  <si>
    <t>Nov-2025 Payout Details</t>
  </si>
  <si>
    <t>Name</t>
  </si>
  <si>
    <t>User Email</t>
  </si>
  <si>
    <t xml:space="preserve">MT5 Account </t>
  </si>
  <si>
    <t>Ammount</t>
  </si>
  <si>
    <t>Payout Sent</t>
  </si>
  <si>
    <t>Received</t>
  </si>
  <si>
    <t>Settled With Client</t>
  </si>
  <si>
    <t>Daman</t>
  </si>
  <si>
    <t>maitry shah</t>
  </si>
  <si>
    <t>shahmaitry222@gmail.com</t>
  </si>
  <si>
    <t>03-12-2025 Noon</t>
  </si>
  <si>
    <t>Done</t>
  </si>
  <si>
    <t>shahmeetk@gmail.com</t>
  </si>
  <si>
    <t>done</t>
  </si>
  <si>
    <t>Daman IB</t>
  </si>
  <si>
    <t>877 AED</t>
  </si>
  <si>
    <t>hellyshah103@gmail.com</t>
  </si>
  <si>
    <t>pankti parshva shah</t>
  </si>
  <si>
    <t>pshah.dubai@gmail.com</t>
  </si>
  <si>
    <t>jagdishkumar s joshi</t>
  </si>
  <si>
    <t>joshijagdish@gmail.com</t>
  </si>
  <si>
    <t>atri joshi</t>
  </si>
  <si>
    <t>atriprinciple@gmail.com</t>
  </si>
  <si>
    <t>nehaben manharbhai danidhariya</t>
  </si>
  <si>
    <t>danineha@hotmail.com</t>
  </si>
  <si>
    <t>parmar mukesh gunvantlal</t>
  </si>
  <si>
    <t>mukeshparmar180960@gmail.com</t>
  </si>
  <si>
    <t>niket atulkumar shah</t>
  </si>
  <si>
    <t>scalpershah@gmail.com</t>
  </si>
  <si>
    <t>Brokrage Account</t>
  </si>
  <si>
    <t>dhwani niket shah</t>
  </si>
  <si>
    <t>officialniketshah@gmail.com</t>
  </si>
  <si>
    <t>Total</t>
  </si>
  <si>
    <t>MT5-ID</t>
  </si>
  <si>
    <t>Previos Withdwaval</t>
  </si>
  <si>
    <t>Remaing</t>
  </si>
  <si>
    <t>Neha Manhar</t>
  </si>
  <si>
    <t>4905 
(Previous JKV Withdrawal)</t>
  </si>
  <si>
    <t>Salih Rahman</t>
  </si>
  <si>
    <t>10000
(New withdrawal from 505706)</t>
  </si>
  <si>
    <t>Dhwani Niket Shah</t>
  </si>
  <si>
    <t>Total new Deposit to be given</t>
  </si>
  <si>
    <t>16/12/2025</t>
  </si>
  <si>
    <t>add 1500 $</t>
  </si>
  <si>
    <t>CRUDE</t>
  </si>
  <si>
    <t>add 1068 $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</si>
  <si>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</si>
  <si>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daman-220</t>
  </si>
  <si>
    <t>niket - normal</t>
  </si>
  <si>
    <t>mex-667</t>
  </si>
  <si>
    <t>pending</t>
  </si>
  <si>
    <t>421 chauhan</t>
  </si>
  <si>
    <t xml:space="preserve">jkv-767   </t>
  </si>
  <si>
    <t>mex-666</t>
  </si>
  <si>
    <t>jkv-659</t>
  </si>
  <si>
    <t>nikret</t>
  </si>
  <si>
    <t>ALGO CHARGES</t>
  </si>
  <si>
    <t>profit share rishab</t>
  </si>
  <si>
    <t>algo</t>
  </si>
  <si>
    <t>MEX-655</t>
  </si>
  <si>
    <t>MEX-656</t>
  </si>
  <si>
    <t>niket copy</t>
  </si>
  <si>
    <t>Dec-2025 Payout Details</t>
  </si>
  <si>
    <t>Withdrawal</t>
  </si>
  <si>
    <t>Add 1500$</t>
  </si>
  <si>
    <t>MEX-667</t>
  </si>
  <si>
    <t>MEX-666</t>
  </si>
  <si>
    <t>jschauhanprinciple@gmail.com</t>
  </si>
  <si>
    <t>Deposit</t>
  </si>
  <si>
    <t>Month</t>
  </si>
  <si>
    <t>Investment</t>
  </si>
  <si>
    <t>Profit</t>
  </si>
  <si>
    <t>ReInvest</t>
  </si>
  <si>
    <t>Investment Profit</t>
  </si>
  <si>
    <t>Profit Sharing</t>
  </si>
  <si>
    <t>Brokrage</t>
  </si>
  <si>
    <t>Net Profit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</si>
  <si>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</si>
  <si>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</si>
  <si>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</si>
  <si>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</si>
  <si>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</si>
  <si>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</si>
  <si>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</si>
  <si>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</si>
  <si>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</si>
  <si>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</si>
  <si>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</si>
  <si>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</si>
  <si>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Percentage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</si>
</sst>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 - mmm"/>
    <numFmt numFmtId="165" formatCode="yyyy- mmm"/>
    <numFmt numFmtId="166" formatCode="mm/dd/yyyy"/>
    <numFmt numFmtId="167" formatCode="#,##0&quot;$&quot;"/>
  </numFmts>
  <fonts count="12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b/>
      <color theme="1"/>
      <name val="Calibri"/>
      <scheme val="minor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theme="10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right/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7" xfId="0" applyFont="1" applyNumberFormat="1"/>
    <xf borderId="1" fillId="0" fontId="2" numFmtId="0" xfId="0" applyBorder="1" applyFont="1"/>
    <xf borderId="2" fillId="0" fontId="2" numFmtId="0" xfId="0" applyBorder="1" applyFont="1"/>
    <xf borderId="0" fillId="0" fontId="3" numFmtId="0" xfId="0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0" fillId="0" fontId="1" numFmtId="0" xfId="0" applyAlignment="1" applyFont="1">
      <alignment readingOrder="0"/>
    </xf>
    <xf borderId="0" fillId="0" fontId="3" numFmtId="17" xfId="0" applyFont="1" applyNumberFormat="1"/>
    <xf borderId="0" fillId="0" fontId="2" numFmtId="14" xfId="0" applyFont="1" applyNumberFormat="1"/>
    <xf borderId="0" fillId="0" fontId="3" numFmtId="17" xfId="0" applyAlignment="1" applyFont="1" applyNumberFormat="1">
      <alignment readingOrder="0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2" fillId="0" fontId="2" numFmtId="164" xfId="0" applyAlignment="1" applyBorder="1" applyFont="1" applyNumberFormat="1">
      <alignment readingOrder="0"/>
    </xf>
    <xf borderId="2" fillId="0" fontId="2" numFmtId="165" xfId="0" applyAlignment="1" applyBorder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0" xfId="0" applyFont="1"/>
    <xf borderId="0" fillId="0" fontId="2" numFmtId="165" xfId="0" applyAlignment="1" applyFont="1" applyNumberFormat="1">
      <alignment readingOrder="0"/>
    </xf>
    <xf borderId="1" fillId="0" fontId="1" numFmtId="0" xfId="0" applyBorder="1" applyFont="1"/>
    <xf borderId="3" fillId="0" fontId="1" numFmtId="0" xfId="0" applyAlignment="1" applyBorder="1" applyFont="1">
      <alignment horizontal="center" readingOrder="0"/>
    </xf>
    <xf borderId="6" fillId="0" fontId="4" numFmtId="0" xfId="0" applyBorder="1" applyFont="1"/>
    <xf borderId="7" fillId="0" fontId="4" numFmtId="0" xfId="0" applyBorder="1" applyFont="1"/>
    <xf borderId="1" fillId="0" fontId="5" numFmtId="0" xfId="0" applyAlignment="1" applyBorder="1" applyFont="1">
      <alignment readingOrder="0"/>
    </xf>
    <xf borderId="1" fillId="0" fontId="2" numFmtId="0" xfId="0" applyAlignment="1" applyBorder="1" applyFont="1">
      <alignment vertical="bottom"/>
    </xf>
    <xf borderId="1" fillId="0" fontId="6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  <xf borderId="1" fillId="2" fontId="2" numFmtId="0" xfId="0" applyAlignment="1" applyBorder="1" applyFill="1" applyFont="1">
      <alignment readingOrder="0"/>
    </xf>
    <xf borderId="0" fillId="2" fontId="1" numFmtId="0" xfId="0" applyAlignment="1" applyFont="1">
      <alignment readingOrder="0"/>
    </xf>
    <xf borderId="0" fillId="2" fontId="1" numFmtId="167" xfId="0" applyAlignment="1" applyFont="1" applyNumberFormat="1">
      <alignment readingOrder="0"/>
    </xf>
    <xf borderId="1" fillId="0" fontId="1" numFmtId="0" xfId="0" applyAlignment="1" applyBorder="1" applyFont="1">
      <alignment readingOrder="0"/>
    </xf>
    <xf borderId="1" fillId="3" fontId="2" numFmtId="0" xfId="0" applyAlignment="1" applyBorder="1" applyFill="1" applyFont="1">
      <alignment vertical="bottom"/>
    </xf>
    <xf borderId="1" fillId="3" fontId="7" numFmtId="0" xfId="0" applyAlignment="1" applyBorder="1" applyFont="1">
      <alignment vertical="bottom"/>
    </xf>
    <xf borderId="8" fillId="3" fontId="2" numFmtId="0" xfId="0" applyAlignment="1" applyBorder="1" applyFont="1">
      <alignment vertical="bottom"/>
    </xf>
    <xf borderId="0" fillId="3" fontId="1" numFmtId="0" xfId="0" applyFont="1"/>
    <xf borderId="8" fillId="3" fontId="8" numFmtId="0" xfId="0" applyAlignment="1" applyBorder="1" applyFont="1">
      <alignment vertical="bottom"/>
    </xf>
    <xf borderId="8" fillId="4" fontId="9" numFmtId="0" xfId="0" applyAlignment="1" applyBorder="1" applyFill="1" applyFont="1">
      <alignment vertical="bottom"/>
    </xf>
    <xf borderId="0" fillId="0" fontId="2" numFmtId="0" xfId="0" applyAlignment="1" applyFont="1">
      <alignment vertical="bottom"/>
    </xf>
    <xf borderId="1" fillId="0" fontId="5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right" vertical="bottom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/>
    </xf>
    <xf borderId="0" fillId="0" fontId="10" numFmtId="0" xfId="0" applyAlignment="1" applyFont="1">
      <alignment vertical="bottom"/>
    </xf>
    <xf borderId="3" fillId="0" fontId="5" numFmtId="0" xfId="0" applyAlignment="1" applyBorder="1" applyFont="1">
      <alignment horizontal="center" readingOrder="0"/>
    </xf>
    <xf borderId="1" fillId="3" fontId="2" numFmtId="0" xfId="0" applyAlignment="1" applyBorder="1" applyFont="1">
      <alignment readingOrder="0"/>
    </xf>
    <xf borderId="0" fillId="2" fontId="2" numFmtId="0" xfId="0" applyAlignment="1" applyFont="1">
      <alignment readingOrder="0"/>
    </xf>
    <xf borderId="0" fillId="4" fontId="1" numFmtId="0" xfId="0" applyAlignment="1" applyFont="1">
      <alignment readingOrder="0"/>
    </xf>
    <xf borderId="0" fillId="0" fontId="11" numFmtId="0" xfId="0" applyFont="1"/>
    <xf borderId="0" fillId="3" fontId="1" numFmtId="0" xfId="0" applyAlignment="1" applyFont="1">
      <alignment readingOrder="0"/>
    </xf>
    <xf borderId="0" fillId="3" fontId="1" numFmtId="0" xfId="0" applyAlignment="1" applyFont="1">
      <alignment horizontal="center" readingOrder="0"/>
    </xf>
    <xf borderId="9" fillId="0" fontId="4" numFmtId="0" xfId="0" applyBorder="1" applyFont="1"/>
    <xf borderId="0" fillId="0" fontId="5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1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2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mailto:shahmaitry222@gmail.com" TargetMode="External"/><Relationship Id="rId2" Type="http://schemas.openxmlformats.org/officeDocument/2006/relationships/hyperlink" Target="mailto:shahmeetk@gmail.com" TargetMode="External"/><Relationship Id="rId3" Type="http://schemas.openxmlformats.org/officeDocument/2006/relationships/hyperlink" Target="mailto:hellyshah103@gmail.com" TargetMode="External"/><Relationship Id="rId4" Type="http://schemas.openxmlformats.org/officeDocument/2006/relationships/hyperlink" Target="mailto:pshah.dubai@gmail.com" TargetMode="External"/><Relationship Id="rId10" Type="http://schemas.openxmlformats.org/officeDocument/2006/relationships/drawing" Target="../drawings/drawing11.xml"/><Relationship Id="rId9" Type="http://schemas.openxmlformats.org/officeDocument/2006/relationships/hyperlink" Target="mailto:officialniketshah@gmail.com" TargetMode="External"/><Relationship Id="rId5" Type="http://schemas.openxmlformats.org/officeDocument/2006/relationships/hyperlink" Target="mailto:joshijagdish@gmail.com" TargetMode="External"/><Relationship Id="rId6" Type="http://schemas.openxmlformats.org/officeDocument/2006/relationships/hyperlink" Target="mailto:danineha@hotmail.com" TargetMode="External"/><Relationship Id="rId7" Type="http://schemas.openxmlformats.org/officeDocument/2006/relationships/hyperlink" Target="mailto:mukeshparmar180960@gmail.com" TargetMode="External"/><Relationship Id="rId8" Type="http://schemas.openxmlformats.org/officeDocument/2006/relationships/hyperlink" Target="mailto:scalpershah@gmail.com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1" Type="http://schemas.openxmlformats.org/officeDocument/2006/relationships/hyperlink" Target="mailto:shahmaitry222@gmail.com" TargetMode="External"/><Relationship Id="rId10" Type="http://schemas.openxmlformats.org/officeDocument/2006/relationships/hyperlink" Target="mailto:jschauhanprinciple@gmail.com" TargetMode="External"/><Relationship Id="rId13" Type="http://schemas.openxmlformats.org/officeDocument/2006/relationships/hyperlink" Target="mailto:hellyshah103@gmail.com" TargetMode="External"/><Relationship Id="rId12" Type="http://schemas.openxmlformats.org/officeDocument/2006/relationships/hyperlink" Target="mailto:shahmeetk@gmail.com" TargetMode="External"/><Relationship Id="rId1" Type="http://schemas.openxmlformats.org/officeDocument/2006/relationships/hyperlink" Target="mailto:shahmaitry222@gmail.com" TargetMode="External"/><Relationship Id="rId2" Type="http://schemas.openxmlformats.org/officeDocument/2006/relationships/hyperlink" Target="mailto:shahmeetk@gmail.com" TargetMode="External"/><Relationship Id="rId3" Type="http://schemas.openxmlformats.org/officeDocument/2006/relationships/hyperlink" Target="mailto:hellyshah103@gmail.com" TargetMode="External"/><Relationship Id="rId4" Type="http://schemas.openxmlformats.org/officeDocument/2006/relationships/hyperlink" Target="mailto:joshijagdish@gmail.com" TargetMode="External"/><Relationship Id="rId9" Type="http://schemas.openxmlformats.org/officeDocument/2006/relationships/hyperlink" Target="mailto:officialniketshah@gmail.com" TargetMode="External"/><Relationship Id="rId14" Type="http://schemas.openxmlformats.org/officeDocument/2006/relationships/drawing" Target="../drawings/drawing13.xml"/><Relationship Id="rId5" Type="http://schemas.openxmlformats.org/officeDocument/2006/relationships/hyperlink" Target="mailto:danineha@hotmail.com" TargetMode="External"/><Relationship Id="rId6" Type="http://schemas.openxmlformats.org/officeDocument/2006/relationships/hyperlink" Target="mailto:danineha@hotmail.com" TargetMode="External"/><Relationship Id="rId7" Type="http://schemas.openxmlformats.org/officeDocument/2006/relationships/hyperlink" Target="mailto:mukeshparmar180960@gmail.com" TargetMode="External"/><Relationship Id="rId8" Type="http://schemas.openxmlformats.org/officeDocument/2006/relationships/hyperlink" Target="mailto:scalpershah@gmail.com" TargetMode="Externa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M1" s="1" t="s">
        <v>0</v>
      </c>
    </row>
    <row r="2" ht="14.25" customHeight="1">
      <c r="A2" s="2">
        <v>45689.0</v>
      </c>
    </row>
    <row r="3" ht="14.25" customHeight="1"/>
    <row r="4" ht="14.25" customHeight="1">
      <c r="A4" s="3" t="s">
        <v>1</v>
      </c>
      <c r="B4" s="3" t="s">
        <v>2</v>
      </c>
      <c r="C4" s="3">
        <v>10000.0</v>
      </c>
      <c r="D4" s="3">
        <v>597.0</v>
      </c>
      <c r="E4" s="3">
        <v>916.0</v>
      </c>
      <c r="L4" s="3" t="s">
        <v>1</v>
      </c>
      <c r="M4" s="3" t="s">
        <v>2</v>
      </c>
      <c r="N4" s="3">
        <v>10000.0</v>
      </c>
      <c r="O4" s="3">
        <v>600.0</v>
      </c>
      <c r="P4" s="3">
        <v>916.0</v>
      </c>
    </row>
    <row r="5" ht="14.25" customHeight="1">
      <c r="A5" s="3" t="s">
        <v>3</v>
      </c>
      <c r="B5" s="3" t="s">
        <v>4</v>
      </c>
      <c r="C5" s="3">
        <v>5000.0</v>
      </c>
      <c r="D5" s="3">
        <v>383.0</v>
      </c>
      <c r="E5" s="3">
        <v>395.0</v>
      </c>
      <c r="F5" s="4"/>
      <c r="L5" s="3" t="s">
        <v>3</v>
      </c>
      <c r="M5" s="3" t="s">
        <v>4</v>
      </c>
      <c r="N5" s="3">
        <v>5000.0</v>
      </c>
      <c r="O5" s="3">
        <v>400.0</v>
      </c>
      <c r="P5" s="3">
        <v>395.0</v>
      </c>
    </row>
    <row r="6" ht="14.25" customHeight="1">
      <c r="A6" s="3" t="s">
        <v>1</v>
      </c>
      <c r="B6" s="3" t="s">
        <v>5</v>
      </c>
      <c r="C6" s="3">
        <v>3000.0</v>
      </c>
      <c r="D6" s="3">
        <v>118.0</v>
      </c>
      <c r="E6" s="3">
        <v>217.0</v>
      </c>
      <c r="L6" s="3" t="s">
        <v>1</v>
      </c>
      <c r="M6" s="3" t="s">
        <v>5</v>
      </c>
      <c r="N6" s="3">
        <v>3000.0</v>
      </c>
      <c r="O6" s="3">
        <v>100.0</v>
      </c>
      <c r="P6" s="3">
        <v>217.0</v>
      </c>
    </row>
    <row r="7" ht="14.25" customHeight="1">
      <c r="A7" s="3" t="s">
        <v>6</v>
      </c>
      <c r="B7" s="3" t="s">
        <v>5</v>
      </c>
      <c r="C7" s="3">
        <v>7000.0</v>
      </c>
      <c r="D7" s="3">
        <v>312.0</v>
      </c>
      <c r="E7" s="3">
        <v>617.0</v>
      </c>
      <c r="L7" s="3" t="s">
        <v>6</v>
      </c>
      <c r="M7" s="3" t="s">
        <v>5</v>
      </c>
      <c r="N7" s="3">
        <v>7000.0</v>
      </c>
      <c r="O7" s="3">
        <v>300.0</v>
      </c>
      <c r="P7" s="3">
        <v>617.0</v>
      </c>
    </row>
    <row r="8" ht="14.25" customHeight="1">
      <c r="A8" s="3" t="s">
        <v>6</v>
      </c>
      <c r="B8" s="3" t="s">
        <v>4</v>
      </c>
      <c r="C8" s="3">
        <v>5000.0</v>
      </c>
      <c r="D8" s="3">
        <v>383.0</v>
      </c>
      <c r="E8" s="3">
        <v>941.0</v>
      </c>
      <c r="F8" s="4"/>
      <c r="L8" s="3" t="s">
        <v>6</v>
      </c>
      <c r="M8" s="3" t="s">
        <v>4</v>
      </c>
      <c r="N8" s="3">
        <v>5000.0</v>
      </c>
      <c r="O8" s="3">
        <v>400.0</v>
      </c>
      <c r="P8" s="3">
        <v>941.0</v>
      </c>
    </row>
    <row r="9" ht="14.25" customHeight="1">
      <c r="A9" s="3" t="s">
        <v>7</v>
      </c>
      <c r="B9" s="3" t="s">
        <v>5</v>
      </c>
      <c r="C9" s="3">
        <v>5000.0</v>
      </c>
      <c r="D9" s="3">
        <v>-50.0</v>
      </c>
      <c r="E9" s="3">
        <v>412.0</v>
      </c>
      <c r="L9" s="3" t="s">
        <v>7</v>
      </c>
      <c r="M9" s="3" t="s">
        <v>5</v>
      </c>
      <c r="N9" s="3">
        <v>5000.0</v>
      </c>
      <c r="O9" s="3">
        <v>0.0</v>
      </c>
      <c r="P9" s="3">
        <v>412.0</v>
      </c>
    </row>
    <row r="10" ht="14.25" customHeight="1">
      <c r="A10" s="3" t="s">
        <v>8</v>
      </c>
      <c r="B10" s="3"/>
      <c r="C10" s="3">
        <v>5000.0</v>
      </c>
      <c r="D10" s="3">
        <v>130.0</v>
      </c>
      <c r="E10" s="3">
        <v>70.0</v>
      </c>
      <c r="L10" s="3" t="s">
        <v>8</v>
      </c>
      <c r="M10" s="3"/>
      <c r="N10" s="3">
        <v>5000.0</v>
      </c>
      <c r="O10" s="3">
        <v>0.0</v>
      </c>
      <c r="P10" s="3">
        <v>70.0</v>
      </c>
    </row>
    <row r="11" ht="14.25" customHeight="1">
      <c r="A11" s="3"/>
      <c r="B11" s="3"/>
      <c r="C11" s="3"/>
      <c r="D11" s="3"/>
      <c r="E11" s="3"/>
      <c r="L11" s="3"/>
      <c r="M11" s="3"/>
      <c r="N11" s="3"/>
      <c r="O11" s="3"/>
      <c r="P11" s="3"/>
    </row>
    <row r="12" ht="14.25" customHeight="1">
      <c r="A12" s="3"/>
      <c r="B12" s="3">
        <f>(D12/C12)</f>
        <v>0.046825</v>
      </c>
      <c r="C12" s="3">
        <f t="shared" ref="C12:D12" si="1">SUM(C4:C11)</f>
        <v>40000</v>
      </c>
      <c r="D12" s="3">
        <f t="shared" si="1"/>
        <v>1873</v>
      </c>
      <c r="E12" s="3">
        <f>SUM(E4:E10)</f>
        <v>3568</v>
      </c>
      <c r="L12" s="3"/>
      <c r="M12" s="3">
        <f>(O12/N12)</f>
        <v>0.045</v>
      </c>
      <c r="N12" s="3">
        <f t="shared" ref="N12:O12" si="2">SUM(N4:N11)</f>
        <v>40000</v>
      </c>
      <c r="O12" s="3">
        <f t="shared" si="2"/>
        <v>1800</v>
      </c>
      <c r="P12" s="3">
        <f>SUM(P4:P10)</f>
        <v>3568</v>
      </c>
      <c r="R12" s="1">
        <v>1800.0</v>
      </c>
    </row>
    <row r="13" ht="14.25" customHeight="1"/>
    <row r="14" ht="14.25" customHeight="1">
      <c r="A14" s="3" t="s">
        <v>9</v>
      </c>
      <c r="B14" s="3" t="s">
        <v>2</v>
      </c>
      <c r="C14" s="3">
        <v>7000.0</v>
      </c>
      <c r="D14" s="3">
        <v>396.0</v>
      </c>
      <c r="E14" s="3">
        <v>1375.0</v>
      </c>
      <c r="L14" s="3" t="s">
        <v>9</v>
      </c>
      <c r="M14" s="3" t="s">
        <v>2</v>
      </c>
      <c r="N14" s="3">
        <v>7000.0</v>
      </c>
      <c r="O14" s="3">
        <v>400.0</v>
      </c>
      <c r="P14" s="3">
        <v>1375.0</v>
      </c>
    </row>
    <row r="15" ht="14.25" customHeight="1">
      <c r="A15" s="3" t="s">
        <v>10</v>
      </c>
      <c r="B15" s="3" t="s">
        <v>2</v>
      </c>
      <c r="C15" s="3">
        <v>7000.0</v>
      </c>
      <c r="D15" s="3">
        <v>204.0</v>
      </c>
      <c r="E15" s="3">
        <v>1148.0</v>
      </c>
      <c r="L15" s="3" t="s">
        <v>10</v>
      </c>
      <c r="M15" s="3" t="s">
        <v>2</v>
      </c>
      <c r="N15" s="3">
        <v>7000.0</v>
      </c>
      <c r="O15" s="3">
        <v>200.0</v>
      </c>
      <c r="P15" s="3">
        <v>1148.0</v>
      </c>
    </row>
    <row r="16" ht="14.25" customHeight="1">
      <c r="A16" s="3" t="s">
        <v>11</v>
      </c>
      <c r="B16" s="3" t="s">
        <v>4</v>
      </c>
      <c r="C16" s="3">
        <v>7000.0</v>
      </c>
      <c r="D16" s="3">
        <v>439.0</v>
      </c>
      <c r="E16" s="3">
        <v>727.0</v>
      </c>
      <c r="F16" s="4"/>
      <c r="L16" s="3" t="s">
        <v>11</v>
      </c>
      <c r="M16" s="3" t="s">
        <v>4</v>
      </c>
      <c r="N16" s="3">
        <v>7000.0</v>
      </c>
      <c r="O16" s="3">
        <v>400.0</v>
      </c>
      <c r="P16" s="3">
        <v>727.0</v>
      </c>
    </row>
    <row r="17" ht="14.25" customHeight="1">
      <c r="A17" s="3"/>
      <c r="B17" s="3"/>
      <c r="C17" s="3"/>
      <c r="D17" s="3"/>
      <c r="E17" s="3"/>
      <c r="L17" s="3"/>
      <c r="M17" s="3"/>
      <c r="N17" s="3"/>
      <c r="O17" s="3"/>
      <c r="P17" s="3"/>
    </row>
    <row r="18" ht="14.25" customHeight="1">
      <c r="A18" s="3"/>
      <c r="B18" s="3">
        <f>(D18/C18)</f>
        <v>0.04947619048</v>
      </c>
      <c r="C18" s="3">
        <f t="shared" ref="C18:D18" si="3">SUM(C14:C17)</f>
        <v>21000</v>
      </c>
      <c r="D18" s="3">
        <f t="shared" si="3"/>
        <v>1039</v>
      </c>
      <c r="E18" s="3">
        <f>SUM(E14:E16)</f>
        <v>3250</v>
      </c>
      <c r="L18" s="3"/>
      <c r="M18" s="3">
        <f>(O18/N18)</f>
        <v>0.04761904762</v>
      </c>
      <c r="N18" s="3">
        <f t="shared" ref="N18:O18" si="4">SUM(N14:N17)</f>
        <v>21000</v>
      </c>
      <c r="O18" s="3">
        <f t="shared" si="4"/>
        <v>1000</v>
      </c>
      <c r="P18" s="3">
        <f>SUM(P14:P16)</f>
        <v>3250</v>
      </c>
      <c r="R18" s="1">
        <v>200.0</v>
      </c>
    </row>
    <row r="19" ht="14.25" customHeight="1"/>
    <row r="20" ht="14.25" customHeight="1"/>
    <row r="21" ht="14.25" customHeight="1">
      <c r="A21" s="3" t="s">
        <v>12</v>
      </c>
      <c r="B21" s="3" t="s">
        <v>2</v>
      </c>
      <c r="C21" s="3">
        <v>5000.0</v>
      </c>
      <c r="D21" s="3">
        <v>319.0</v>
      </c>
      <c r="E21" s="3">
        <v>742.0</v>
      </c>
      <c r="L21" s="3" t="s">
        <v>12</v>
      </c>
      <c r="M21" s="3" t="s">
        <v>2</v>
      </c>
      <c r="N21" s="3">
        <v>5000.0</v>
      </c>
      <c r="O21" s="3">
        <v>300.0</v>
      </c>
      <c r="P21" s="3">
        <v>742.0</v>
      </c>
    </row>
    <row r="22" ht="14.25" customHeight="1">
      <c r="A22" s="3" t="s">
        <v>12</v>
      </c>
      <c r="B22" s="3" t="s">
        <v>4</v>
      </c>
      <c r="C22" s="3">
        <v>5000.0</v>
      </c>
      <c r="D22" s="3">
        <v>707.0</v>
      </c>
      <c r="E22" s="3">
        <v>624.0</v>
      </c>
      <c r="F22" s="4"/>
      <c r="L22" s="3" t="s">
        <v>12</v>
      </c>
      <c r="M22" s="3" t="s">
        <v>4</v>
      </c>
      <c r="N22" s="3">
        <v>5000.0</v>
      </c>
      <c r="O22" s="3">
        <v>700.0</v>
      </c>
      <c r="P22" s="3">
        <v>624.0</v>
      </c>
    </row>
    <row r="23" ht="14.25" customHeight="1">
      <c r="A23" s="3" t="s">
        <v>12</v>
      </c>
      <c r="B23" s="3" t="s">
        <v>5</v>
      </c>
      <c r="C23" s="3">
        <v>5000.0</v>
      </c>
      <c r="D23" s="3">
        <v>95.0</v>
      </c>
      <c r="E23" s="3">
        <v>23.0</v>
      </c>
      <c r="L23" s="3" t="s">
        <v>12</v>
      </c>
      <c r="M23" s="3" t="s">
        <v>5</v>
      </c>
      <c r="N23" s="3">
        <v>5000.0</v>
      </c>
      <c r="O23" s="3">
        <v>90.0</v>
      </c>
      <c r="P23" s="3">
        <v>23.0</v>
      </c>
    </row>
    <row r="24" ht="14.25" customHeight="1">
      <c r="A24" s="3"/>
      <c r="B24" s="3"/>
      <c r="C24" s="3"/>
      <c r="D24" s="3"/>
      <c r="E24" s="3"/>
      <c r="L24" s="3"/>
      <c r="M24" s="3"/>
      <c r="N24" s="3"/>
      <c r="O24" s="3"/>
      <c r="P24" s="3"/>
    </row>
    <row r="25" ht="14.25" customHeight="1">
      <c r="A25" s="3"/>
      <c r="B25" s="3">
        <f>(D25/C25)</f>
        <v>0.07473333333</v>
      </c>
      <c r="C25" s="3">
        <f t="shared" ref="C25:E25" si="5">SUM(C21:C24)</f>
        <v>15000</v>
      </c>
      <c r="D25" s="3">
        <f t="shared" si="5"/>
        <v>1121</v>
      </c>
      <c r="E25" s="3">
        <f t="shared" si="5"/>
        <v>1389</v>
      </c>
      <c r="L25" s="3"/>
      <c r="M25" s="3">
        <f>(O25/N25)</f>
        <v>0.07266666667</v>
      </c>
      <c r="N25" s="3">
        <f t="shared" ref="N25:P25" si="6">SUM(N21:N24)</f>
        <v>15000</v>
      </c>
      <c r="O25" s="3">
        <f t="shared" si="6"/>
        <v>1090</v>
      </c>
      <c r="P25" s="3">
        <f t="shared" si="6"/>
        <v>1389</v>
      </c>
      <c r="R25" s="1">
        <f>(O25*0.2)</f>
        <v>218</v>
      </c>
    </row>
    <row r="26" ht="14.25" customHeight="1"/>
    <row r="27" ht="14.25" customHeight="1">
      <c r="A27" s="3" t="s">
        <v>13</v>
      </c>
      <c r="B27" s="3" t="s">
        <v>2</v>
      </c>
      <c r="C27" s="3">
        <v>5000.0</v>
      </c>
      <c r="D27" s="3">
        <v>348.0</v>
      </c>
      <c r="E27" s="3">
        <v>963.0</v>
      </c>
      <c r="L27" s="3" t="s">
        <v>13</v>
      </c>
      <c r="M27" s="3" t="s">
        <v>2</v>
      </c>
      <c r="N27" s="3">
        <v>5000.0</v>
      </c>
      <c r="O27" s="3">
        <v>400.0</v>
      </c>
      <c r="P27" s="3">
        <v>963.0</v>
      </c>
    </row>
    <row r="28" ht="14.25" customHeight="1">
      <c r="A28" s="3" t="s">
        <v>13</v>
      </c>
      <c r="B28" s="3" t="s">
        <v>4</v>
      </c>
      <c r="C28" s="3">
        <v>5000.0</v>
      </c>
      <c r="D28" s="3">
        <v>694.0</v>
      </c>
      <c r="E28" s="3">
        <v>918.0</v>
      </c>
      <c r="F28" s="4"/>
      <c r="L28" s="3" t="s">
        <v>13</v>
      </c>
      <c r="M28" s="3" t="s">
        <v>4</v>
      </c>
      <c r="N28" s="3">
        <v>5000.0</v>
      </c>
      <c r="O28" s="3">
        <v>700.0</v>
      </c>
      <c r="P28" s="3">
        <v>918.0</v>
      </c>
    </row>
    <row r="29" ht="14.25" customHeight="1">
      <c r="A29" s="3" t="s">
        <v>13</v>
      </c>
      <c r="B29" s="3" t="s">
        <v>5</v>
      </c>
      <c r="C29" s="3">
        <v>5000.0</v>
      </c>
      <c r="D29" s="3">
        <v>306.0</v>
      </c>
      <c r="E29" s="3">
        <v>575.0</v>
      </c>
      <c r="L29" s="3" t="s">
        <v>13</v>
      </c>
      <c r="M29" s="3" t="s">
        <v>5</v>
      </c>
      <c r="N29" s="3">
        <v>5000.0</v>
      </c>
      <c r="O29" s="3">
        <v>300.0</v>
      </c>
      <c r="P29" s="3">
        <v>575.0</v>
      </c>
    </row>
    <row r="30" ht="14.25" customHeight="1">
      <c r="A30" s="3"/>
      <c r="B30" s="3"/>
      <c r="C30" s="3"/>
      <c r="D30" s="3"/>
      <c r="E30" s="3"/>
      <c r="L30" s="3"/>
      <c r="M30" s="3"/>
      <c r="N30" s="3"/>
      <c r="O30" s="3"/>
      <c r="P30" s="3"/>
    </row>
    <row r="31" ht="14.25" customHeight="1">
      <c r="A31" s="3"/>
      <c r="B31" s="3">
        <f>(D31/C31)</f>
        <v>0.08986666667</v>
      </c>
      <c r="C31" s="3">
        <f t="shared" ref="C31:D31" si="7">SUM(C27:C30)</f>
        <v>15000</v>
      </c>
      <c r="D31" s="3">
        <f t="shared" si="7"/>
        <v>1348</v>
      </c>
      <c r="E31" s="3">
        <f>SUM(E27:E29)</f>
        <v>2456</v>
      </c>
      <c r="L31" s="3"/>
      <c r="M31" s="3">
        <f>(O31/N31)</f>
        <v>0.09333333333</v>
      </c>
      <c r="N31" s="3">
        <f t="shared" ref="N31:O31" si="8">SUM(N27:N30)</f>
        <v>15000</v>
      </c>
      <c r="O31" s="3">
        <f t="shared" si="8"/>
        <v>1400</v>
      </c>
      <c r="P31" s="3">
        <f>SUM(P27:P29)</f>
        <v>2456</v>
      </c>
      <c r="R31" s="1">
        <f>(O31*0.2)</f>
        <v>280</v>
      </c>
    </row>
    <row r="32" ht="14.25" customHeight="1"/>
    <row r="33" ht="14.25" customHeight="1"/>
    <row r="34" ht="14.25" customHeight="1">
      <c r="A34" s="3" t="s">
        <v>14</v>
      </c>
      <c r="B34" s="3" t="s">
        <v>4</v>
      </c>
      <c r="C34" s="3">
        <v>5000.0</v>
      </c>
      <c r="D34" s="3">
        <v>499.0</v>
      </c>
      <c r="E34" s="3">
        <v>163.0</v>
      </c>
      <c r="F34" s="4"/>
      <c r="L34" s="3" t="s">
        <v>14</v>
      </c>
      <c r="M34" s="3" t="s">
        <v>4</v>
      </c>
      <c r="N34" s="3">
        <v>5000.0</v>
      </c>
      <c r="O34" s="3">
        <v>500.0</v>
      </c>
      <c r="P34" s="3">
        <v>163.0</v>
      </c>
      <c r="R34" s="1">
        <f>(O34*0.2)</f>
        <v>100</v>
      </c>
    </row>
    <row r="35" ht="14.25" customHeight="1">
      <c r="A35" s="3"/>
      <c r="B35" s="3">
        <f>(D34/C34)</f>
        <v>0.0998</v>
      </c>
      <c r="C35" s="3"/>
      <c r="D35" s="3"/>
      <c r="E35" s="3"/>
      <c r="L35" s="3"/>
      <c r="M35" s="3">
        <f>(O34/N34)</f>
        <v>0.1</v>
      </c>
      <c r="N35" s="3"/>
      <c r="O35" s="3"/>
      <c r="P35" s="3"/>
    </row>
    <row r="36" ht="14.25" customHeight="1"/>
    <row r="37" ht="14.25" customHeight="1">
      <c r="A37" s="3" t="s">
        <v>15</v>
      </c>
      <c r="B37" s="3" t="s">
        <v>5</v>
      </c>
      <c r="C37" s="3">
        <v>5000.0</v>
      </c>
      <c r="D37" s="3">
        <v>132.0</v>
      </c>
      <c r="E37" s="3">
        <v>57.0</v>
      </c>
      <c r="L37" s="3" t="s">
        <v>15</v>
      </c>
      <c r="M37" s="3" t="s">
        <v>5</v>
      </c>
      <c r="N37" s="3">
        <v>5000.0</v>
      </c>
      <c r="O37" s="3">
        <v>0.0</v>
      </c>
      <c r="P37" s="3">
        <v>57.0</v>
      </c>
    </row>
    <row r="38" ht="14.25" customHeight="1">
      <c r="A38" s="3"/>
      <c r="B38" s="3">
        <f>(D37/C37)</f>
        <v>0.0264</v>
      </c>
      <c r="C38" s="3"/>
      <c r="D38" s="3"/>
      <c r="E38" s="3"/>
      <c r="L38" s="3"/>
      <c r="M38" s="3">
        <f>(O37/N37)</f>
        <v>0</v>
      </c>
      <c r="N38" s="3"/>
      <c r="O38" s="3"/>
      <c r="P38" s="3"/>
    </row>
    <row r="39" ht="14.25" customHeight="1"/>
    <row r="40" ht="14.25" customHeight="1">
      <c r="A40" s="3" t="s">
        <v>16</v>
      </c>
      <c r="B40" s="3" t="s">
        <v>4</v>
      </c>
      <c r="C40" s="3">
        <v>10000.0</v>
      </c>
      <c r="D40" s="3">
        <v>577.0</v>
      </c>
      <c r="E40" s="3">
        <v>593.0</v>
      </c>
      <c r="F40" s="1" t="s">
        <v>17</v>
      </c>
      <c r="L40" s="3" t="s">
        <v>16</v>
      </c>
      <c r="M40" s="3" t="s">
        <v>4</v>
      </c>
      <c r="N40" s="3">
        <v>10000.0</v>
      </c>
      <c r="O40" s="3">
        <v>1200.0</v>
      </c>
      <c r="P40" s="3">
        <v>593.0</v>
      </c>
      <c r="R40" s="1">
        <f>(O40*0.2)</f>
        <v>240</v>
      </c>
    </row>
    <row r="41" ht="14.25" customHeight="1">
      <c r="A41" s="3"/>
      <c r="B41" s="3">
        <f>(D40/C40)</f>
        <v>0.0577</v>
      </c>
      <c r="C41" s="3"/>
      <c r="D41" s="3"/>
      <c r="E41" s="3"/>
      <c r="L41" s="3"/>
      <c r="M41" s="3">
        <f>(O40/N40)</f>
        <v>0.12</v>
      </c>
      <c r="N41" s="3"/>
      <c r="O41" s="3"/>
      <c r="P41" s="3"/>
    </row>
    <row r="42" ht="14.25" customHeight="1"/>
    <row r="43" ht="14.25" customHeight="1">
      <c r="B43" s="1">
        <f>(D43/C43)</f>
        <v>0.05936036036</v>
      </c>
      <c r="C43" s="1">
        <f t="shared" ref="C43:E43" si="9">(C40+C37+C34+C31+C25+C18+C12)</f>
        <v>111000</v>
      </c>
      <c r="D43" s="1">
        <f t="shared" si="9"/>
        <v>6589</v>
      </c>
      <c r="E43" s="1">
        <f t="shared" si="9"/>
        <v>11476</v>
      </c>
      <c r="M43" s="1">
        <f>(O43/N43)</f>
        <v>0.06297297297</v>
      </c>
      <c r="N43" s="1">
        <f t="shared" ref="N43:P43" si="10">(N40+N37+N34+N31+N25+N18+N12)</f>
        <v>111000</v>
      </c>
      <c r="O43" s="1">
        <f t="shared" si="10"/>
        <v>6990</v>
      </c>
      <c r="P43" s="1">
        <f t="shared" si="10"/>
        <v>11476</v>
      </c>
    </row>
    <row r="44" ht="14.25" customHeight="1"/>
    <row r="45" ht="14.25" customHeight="1">
      <c r="Q45" s="1" t="s">
        <v>18</v>
      </c>
      <c r="R45" s="1">
        <f>SUM(R12:R40)</f>
        <v>2838</v>
      </c>
    </row>
    <row r="46" ht="14.25" customHeight="1">
      <c r="Q46" s="1" t="s">
        <v>19</v>
      </c>
      <c r="R46" s="1">
        <v>90.0</v>
      </c>
    </row>
    <row r="47" ht="14.25" customHeight="1">
      <c r="Q47" s="1" t="s">
        <v>19</v>
      </c>
      <c r="R47" s="1">
        <v>140.0</v>
      </c>
    </row>
    <row r="48" ht="14.25" customHeight="1">
      <c r="Q48" s="1" t="s">
        <v>20</v>
      </c>
      <c r="S48" s="1">
        <v>238.0</v>
      </c>
    </row>
    <row r="49" ht="14.25" customHeight="1">
      <c r="Q49" s="1" t="s">
        <v>21</v>
      </c>
    </row>
    <row r="50" ht="14.25" customHeight="1"/>
    <row r="51" ht="14.25" customHeight="1">
      <c r="Q51" s="1" t="s">
        <v>18</v>
      </c>
      <c r="R51" s="1">
        <f>SUM(R45:R49)</f>
        <v>3068</v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M1" s="1" t="s">
        <v>0</v>
      </c>
    </row>
    <row r="2" ht="14.25" customHeight="1">
      <c r="A2" s="2">
        <v>45717.0</v>
      </c>
    </row>
    <row r="3" ht="14.25" customHeight="1"/>
    <row r="4" ht="14.25" customHeight="1">
      <c r="A4" s="3" t="s">
        <v>1</v>
      </c>
      <c r="B4" s="3" t="s">
        <v>2</v>
      </c>
      <c r="C4" s="3">
        <v>10000.0</v>
      </c>
      <c r="D4" s="3">
        <v>1106.0</v>
      </c>
      <c r="E4" s="3">
        <v>2281.0</v>
      </c>
      <c r="K4" s="1" t="s">
        <v>22</v>
      </c>
      <c r="L4" s="3" t="s">
        <v>1</v>
      </c>
      <c r="M4" s="3" t="s">
        <v>2</v>
      </c>
      <c r="N4" s="3">
        <v>10000.0</v>
      </c>
      <c r="O4" s="3">
        <v>1000.0</v>
      </c>
      <c r="P4" s="3">
        <v>2281.0</v>
      </c>
    </row>
    <row r="5" ht="14.25" customHeight="1">
      <c r="A5" s="3" t="s">
        <v>3</v>
      </c>
      <c r="B5" s="3" t="s">
        <v>4</v>
      </c>
      <c r="C5" s="3">
        <v>5000.0</v>
      </c>
      <c r="D5" s="3">
        <v>142.0</v>
      </c>
      <c r="E5" s="3">
        <v>-38.0</v>
      </c>
      <c r="F5" s="4"/>
      <c r="K5" s="1" t="s">
        <v>23</v>
      </c>
      <c r="L5" s="3" t="s">
        <v>3</v>
      </c>
      <c r="M5" s="3" t="s">
        <v>4</v>
      </c>
      <c r="N5" s="3">
        <v>5000.0</v>
      </c>
      <c r="O5" s="3">
        <v>500.0</v>
      </c>
      <c r="P5" s="3">
        <v>38.0</v>
      </c>
    </row>
    <row r="6" ht="14.25" customHeight="1">
      <c r="A6" s="3" t="s">
        <v>1</v>
      </c>
      <c r="B6" s="3" t="s">
        <v>5</v>
      </c>
      <c r="C6" s="3">
        <v>3000.0</v>
      </c>
      <c r="D6" s="3">
        <v>248.0</v>
      </c>
      <c r="E6" s="3">
        <v>33.0</v>
      </c>
      <c r="K6" s="1" t="s">
        <v>22</v>
      </c>
      <c r="L6" s="3" t="s">
        <v>1</v>
      </c>
      <c r="M6" s="3" t="s">
        <v>5</v>
      </c>
      <c r="N6" s="3">
        <v>3000.0</v>
      </c>
      <c r="O6" s="3">
        <v>250.0</v>
      </c>
      <c r="P6" s="3">
        <v>33.0</v>
      </c>
    </row>
    <row r="7" ht="14.25" customHeight="1">
      <c r="A7" s="3" t="s">
        <v>6</v>
      </c>
      <c r="B7" s="3" t="s">
        <v>5</v>
      </c>
      <c r="C7" s="3">
        <v>7000.0</v>
      </c>
      <c r="D7" s="3">
        <v>570.0</v>
      </c>
      <c r="E7" s="3">
        <v>78.0</v>
      </c>
      <c r="L7" s="3" t="s">
        <v>6</v>
      </c>
      <c r="M7" s="3" t="s">
        <v>5</v>
      </c>
      <c r="N7" s="3">
        <v>7000.0</v>
      </c>
      <c r="O7" s="3">
        <v>550.0</v>
      </c>
      <c r="P7" s="3">
        <v>78.0</v>
      </c>
    </row>
    <row r="8" ht="14.25" customHeight="1">
      <c r="A8" s="3" t="s">
        <v>6</v>
      </c>
      <c r="B8" s="3" t="s">
        <v>4</v>
      </c>
      <c r="C8" s="3">
        <v>5000.0</v>
      </c>
      <c r="D8" s="3">
        <v>-1000.0</v>
      </c>
      <c r="E8" s="3">
        <v>2200.0</v>
      </c>
      <c r="F8" s="4"/>
      <c r="L8" s="3" t="s">
        <v>6</v>
      </c>
      <c r="M8" s="3" t="s">
        <v>4</v>
      </c>
      <c r="N8" s="3">
        <v>5000.0</v>
      </c>
      <c r="O8" s="3">
        <v>-1000.0</v>
      </c>
      <c r="P8" s="3">
        <v>2200.0</v>
      </c>
    </row>
    <row r="9" ht="14.25" customHeight="1">
      <c r="A9" s="3" t="s">
        <v>7</v>
      </c>
      <c r="B9" s="3" t="s">
        <v>5</v>
      </c>
      <c r="C9" s="3">
        <v>5000.0</v>
      </c>
      <c r="D9" s="3">
        <v>15.0</v>
      </c>
      <c r="E9" s="3">
        <v>121.0</v>
      </c>
      <c r="L9" s="3" t="s">
        <v>7</v>
      </c>
      <c r="M9" s="3" t="s">
        <v>5</v>
      </c>
      <c r="N9" s="3">
        <v>5000.0</v>
      </c>
      <c r="O9" s="3">
        <v>0.0</v>
      </c>
      <c r="P9" s="3">
        <v>121.0</v>
      </c>
    </row>
    <row r="10" ht="14.25" customHeight="1">
      <c r="A10" s="3" t="s">
        <v>8</v>
      </c>
      <c r="B10" s="3"/>
      <c r="C10" s="3">
        <v>6368.0</v>
      </c>
      <c r="D10" s="3">
        <v>500.0</v>
      </c>
      <c r="E10" s="3">
        <v>80.0</v>
      </c>
      <c r="K10" s="1" t="s">
        <v>24</v>
      </c>
      <c r="L10" s="3" t="s">
        <v>8</v>
      </c>
      <c r="M10" s="3"/>
      <c r="N10" s="3">
        <v>5000.0</v>
      </c>
      <c r="O10" s="3">
        <v>500.0</v>
      </c>
      <c r="P10" s="3">
        <v>70.0</v>
      </c>
    </row>
    <row r="11" ht="14.25" customHeight="1">
      <c r="A11" s="3"/>
      <c r="B11" s="3"/>
      <c r="C11" s="3"/>
      <c r="D11" s="3"/>
      <c r="E11" s="3"/>
      <c r="L11" s="3"/>
      <c r="M11" s="3"/>
      <c r="N11" s="3"/>
      <c r="O11" s="3"/>
      <c r="P11" s="3"/>
    </row>
    <row r="12" ht="14.25" customHeight="1">
      <c r="A12" s="3"/>
      <c r="B12" s="3">
        <f>(D12/C12)</f>
        <v>0.03821794624</v>
      </c>
      <c r="C12" s="3">
        <f t="shared" ref="C12:D12" si="1">SUM(C4:C11)</f>
        <v>41368</v>
      </c>
      <c r="D12" s="3">
        <f t="shared" si="1"/>
        <v>1581</v>
      </c>
      <c r="E12" s="3">
        <f>SUM(E4:E10)</f>
        <v>4755</v>
      </c>
      <c r="L12" s="3"/>
      <c r="M12" s="3">
        <f>(O12/N12)</f>
        <v>0.045</v>
      </c>
      <c r="N12" s="3">
        <f t="shared" ref="N12:O12" si="2">SUM(N4:N11)</f>
        <v>40000</v>
      </c>
      <c r="O12" s="3">
        <f t="shared" si="2"/>
        <v>1800</v>
      </c>
      <c r="P12" s="3">
        <f>SUM(P4:P10)</f>
        <v>4821</v>
      </c>
      <c r="R12" s="1">
        <v>1800.0</v>
      </c>
    </row>
    <row r="13" ht="14.25" customHeight="1"/>
    <row r="14" ht="14.25" customHeight="1">
      <c r="A14" s="3" t="s">
        <v>9</v>
      </c>
      <c r="B14" s="3" t="s">
        <v>2</v>
      </c>
      <c r="C14" s="3">
        <v>7000.0</v>
      </c>
      <c r="D14" s="3">
        <v>290.0</v>
      </c>
      <c r="E14" s="3">
        <v>687.0</v>
      </c>
      <c r="K14" s="1" t="s">
        <v>22</v>
      </c>
      <c r="L14" s="3" t="s">
        <v>9</v>
      </c>
      <c r="M14" s="3" t="s">
        <v>2</v>
      </c>
      <c r="N14" s="3">
        <v>7000.0</v>
      </c>
      <c r="O14" s="3">
        <v>300.0</v>
      </c>
      <c r="P14" s="3">
        <v>687.0</v>
      </c>
    </row>
    <row r="15" ht="14.25" customHeight="1">
      <c r="A15" s="3" t="s">
        <v>10</v>
      </c>
      <c r="B15" s="3" t="s">
        <v>2</v>
      </c>
      <c r="C15" s="3">
        <v>7000.0</v>
      </c>
      <c r="D15" s="3">
        <v>175.0</v>
      </c>
      <c r="E15" s="3">
        <v>1703.0</v>
      </c>
      <c r="K15" s="1" t="s">
        <v>22</v>
      </c>
      <c r="L15" s="3" t="s">
        <v>10</v>
      </c>
      <c r="M15" s="3" t="s">
        <v>2</v>
      </c>
      <c r="N15" s="3">
        <v>7000.0</v>
      </c>
      <c r="O15" s="3">
        <v>150.0</v>
      </c>
      <c r="P15" s="3">
        <v>1703.0</v>
      </c>
    </row>
    <row r="16" ht="14.25" customHeight="1">
      <c r="A16" s="3" t="s">
        <v>11</v>
      </c>
      <c r="B16" s="3" t="s">
        <v>4</v>
      </c>
      <c r="C16" s="3">
        <v>7000.0</v>
      </c>
      <c r="D16" s="3">
        <v>483.0</v>
      </c>
      <c r="E16" s="3">
        <v>1368.0</v>
      </c>
      <c r="F16" s="4"/>
      <c r="K16" s="1" t="s">
        <v>23</v>
      </c>
      <c r="L16" s="3" t="s">
        <v>11</v>
      </c>
      <c r="M16" s="3" t="s">
        <v>4</v>
      </c>
      <c r="N16" s="3">
        <v>7000.0</v>
      </c>
      <c r="O16" s="3">
        <v>450.0</v>
      </c>
      <c r="P16" s="3">
        <v>1372.0</v>
      </c>
    </row>
    <row r="17" ht="14.25" customHeight="1">
      <c r="A17" s="3"/>
      <c r="B17" s="3"/>
      <c r="C17" s="3"/>
      <c r="D17" s="3"/>
      <c r="E17" s="3"/>
      <c r="L17" s="3"/>
      <c r="M17" s="3"/>
      <c r="N17" s="3"/>
      <c r="O17" s="3"/>
      <c r="P17" s="3"/>
    </row>
    <row r="18" ht="14.25" customHeight="1">
      <c r="A18" s="3"/>
      <c r="B18" s="3">
        <f>(D18/C18)</f>
        <v>0.04514285714</v>
      </c>
      <c r="C18" s="3">
        <f t="shared" ref="C18:D18" si="3">SUM(C14:C17)</f>
        <v>21000</v>
      </c>
      <c r="D18" s="3">
        <f t="shared" si="3"/>
        <v>948</v>
      </c>
      <c r="E18" s="3">
        <f>SUM(E14:E16)</f>
        <v>3758</v>
      </c>
      <c r="L18" s="3"/>
      <c r="M18" s="3">
        <f>(O18/N18)</f>
        <v>0.04285714286</v>
      </c>
      <c r="N18" s="3">
        <f t="shared" ref="N18:O18" si="4">SUM(N14:N17)</f>
        <v>21000</v>
      </c>
      <c r="O18" s="3">
        <f t="shared" si="4"/>
        <v>900</v>
      </c>
      <c r="P18" s="3">
        <f>SUM(P14:P16)</f>
        <v>3762</v>
      </c>
      <c r="R18" s="1">
        <f>(O18*0.2)</f>
        <v>180</v>
      </c>
    </row>
    <row r="19" ht="14.25" customHeight="1"/>
    <row r="20" ht="14.25" customHeight="1"/>
    <row r="21" ht="14.25" customHeight="1">
      <c r="A21" s="3" t="s">
        <v>12</v>
      </c>
      <c r="B21" s="3" t="s">
        <v>2</v>
      </c>
      <c r="C21" s="3">
        <v>5000.0</v>
      </c>
      <c r="D21" s="3">
        <v>155.0</v>
      </c>
      <c r="E21" s="3">
        <v>1242.0</v>
      </c>
      <c r="K21" s="1" t="s">
        <v>22</v>
      </c>
      <c r="L21" s="3" t="s">
        <v>12</v>
      </c>
      <c r="M21" s="3" t="s">
        <v>2</v>
      </c>
      <c r="N21" s="3">
        <v>5000.0</v>
      </c>
      <c r="O21" s="3">
        <v>150.0</v>
      </c>
      <c r="P21" s="3">
        <v>1242.0</v>
      </c>
    </row>
    <row r="22" ht="14.25" customHeight="1">
      <c r="A22" s="3" t="s">
        <v>12</v>
      </c>
      <c r="B22" s="3" t="s">
        <v>4</v>
      </c>
      <c r="C22" s="3">
        <v>5000.0</v>
      </c>
      <c r="D22" s="3">
        <v>307.0</v>
      </c>
      <c r="E22" s="3">
        <v>52.0</v>
      </c>
      <c r="F22" s="4"/>
      <c r="K22" s="1" t="s">
        <v>23</v>
      </c>
      <c r="L22" s="3" t="s">
        <v>12</v>
      </c>
      <c r="M22" s="3" t="s">
        <v>4</v>
      </c>
      <c r="N22" s="3">
        <v>5000.0</v>
      </c>
      <c r="O22" s="3">
        <v>300.0</v>
      </c>
      <c r="P22" s="3">
        <v>52.0</v>
      </c>
    </row>
    <row r="23" ht="14.25" customHeight="1">
      <c r="A23" s="3" t="s">
        <v>12</v>
      </c>
      <c r="B23" s="3" t="s">
        <v>5</v>
      </c>
      <c r="C23" s="3">
        <v>5000.0</v>
      </c>
      <c r="D23" s="3">
        <v>394.0</v>
      </c>
      <c r="E23" s="3">
        <v>12.0</v>
      </c>
      <c r="K23" s="1" t="s">
        <v>25</v>
      </c>
      <c r="L23" s="3" t="s">
        <v>12</v>
      </c>
      <c r="M23" s="3" t="s">
        <v>5</v>
      </c>
      <c r="N23" s="3">
        <v>5000.0</v>
      </c>
      <c r="O23" s="3">
        <v>400.0</v>
      </c>
      <c r="P23" s="3">
        <v>12.0</v>
      </c>
    </row>
    <row r="24" ht="14.25" customHeight="1">
      <c r="A24" s="3"/>
      <c r="B24" s="3"/>
      <c r="C24" s="3"/>
      <c r="D24" s="3"/>
      <c r="E24" s="3"/>
      <c r="L24" s="3"/>
      <c r="M24" s="3"/>
      <c r="N24" s="3"/>
      <c r="O24" s="3"/>
      <c r="P24" s="3"/>
    </row>
    <row r="25" ht="14.25" customHeight="1">
      <c r="A25" s="3"/>
      <c r="B25" s="3">
        <f>(D25/C25)</f>
        <v>0.05706666667</v>
      </c>
      <c r="C25" s="3">
        <f t="shared" ref="C25:E25" si="5">SUM(C21:C24)</f>
        <v>15000</v>
      </c>
      <c r="D25" s="3">
        <f t="shared" si="5"/>
        <v>856</v>
      </c>
      <c r="E25" s="3">
        <f t="shared" si="5"/>
        <v>1306</v>
      </c>
      <c r="L25" s="3"/>
      <c r="M25" s="3">
        <f>(O25/N25)</f>
        <v>0.05666666667</v>
      </c>
      <c r="N25" s="3">
        <f t="shared" ref="N25:P25" si="6">SUM(N21:N24)</f>
        <v>15000</v>
      </c>
      <c r="O25" s="3">
        <f t="shared" si="6"/>
        <v>850</v>
      </c>
      <c r="P25" s="3">
        <f t="shared" si="6"/>
        <v>1306</v>
      </c>
      <c r="R25" s="1">
        <f>(O25*0.2)</f>
        <v>170</v>
      </c>
    </row>
    <row r="26" ht="14.25" customHeight="1"/>
    <row r="27" ht="14.25" customHeight="1">
      <c r="A27" s="3" t="s">
        <v>13</v>
      </c>
      <c r="B27" s="3" t="s">
        <v>2</v>
      </c>
      <c r="C27" s="3">
        <v>5000.0</v>
      </c>
      <c r="D27" s="3">
        <v>155.0</v>
      </c>
      <c r="E27" s="3">
        <v>1170.0</v>
      </c>
      <c r="K27" s="1" t="s">
        <v>22</v>
      </c>
      <c r="L27" s="3" t="s">
        <v>13</v>
      </c>
      <c r="M27" s="3" t="s">
        <v>2</v>
      </c>
      <c r="N27" s="3">
        <v>5000.0</v>
      </c>
      <c r="O27" s="3">
        <v>150.0</v>
      </c>
      <c r="P27" s="3">
        <v>1170.0</v>
      </c>
    </row>
    <row r="28" ht="14.25" customHeight="1">
      <c r="A28" s="3" t="s">
        <v>13</v>
      </c>
      <c r="B28" s="3" t="s">
        <v>4</v>
      </c>
      <c r="C28" s="3">
        <v>5000.0</v>
      </c>
      <c r="D28" s="3">
        <v>-800.0</v>
      </c>
      <c r="E28" s="3">
        <v>2110.0</v>
      </c>
      <c r="F28" s="4"/>
      <c r="L28" s="3" t="s">
        <v>13</v>
      </c>
      <c r="M28" s="3" t="s">
        <v>4</v>
      </c>
      <c r="N28" s="3">
        <v>5000.0</v>
      </c>
      <c r="O28" s="3">
        <v>-800.0</v>
      </c>
      <c r="P28" s="3">
        <v>2110.0</v>
      </c>
    </row>
    <row r="29" ht="14.25" customHeight="1">
      <c r="A29" s="3" t="s">
        <v>13</v>
      </c>
      <c r="B29" s="3" t="s">
        <v>5</v>
      </c>
      <c r="C29" s="3">
        <v>5000.0</v>
      </c>
      <c r="D29" s="3">
        <v>331.0</v>
      </c>
      <c r="E29" s="3">
        <v>245.0</v>
      </c>
      <c r="L29" s="3" t="s">
        <v>13</v>
      </c>
      <c r="M29" s="3" t="s">
        <v>5</v>
      </c>
      <c r="N29" s="3">
        <v>5000.0</v>
      </c>
      <c r="O29" s="3">
        <v>300.0</v>
      </c>
      <c r="P29" s="3">
        <v>575.0</v>
      </c>
    </row>
    <row r="30" ht="14.25" customHeight="1">
      <c r="A30" s="3"/>
      <c r="B30" s="3"/>
      <c r="C30" s="3"/>
      <c r="D30" s="3"/>
      <c r="E30" s="3"/>
      <c r="L30" s="3"/>
      <c r="M30" s="3"/>
      <c r="N30" s="3"/>
      <c r="O30" s="3"/>
      <c r="P30" s="3"/>
    </row>
    <row r="31" ht="14.25" customHeight="1">
      <c r="A31" s="3"/>
      <c r="B31" s="3">
        <f>(D31/C31)</f>
        <v>-0.02093333333</v>
      </c>
      <c r="C31" s="3">
        <f t="shared" ref="C31:D31" si="7">SUM(C27:C30)</f>
        <v>15000</v>
      </c>
      <c r="D31" s="3">
        <f t="shared" si="7"/>
        <v>-314</v>
      </c>
      <c r="E31" s="3">
        <f>SUM(E27:E29)</f>
        <v>3525</v>
      </c>
      <c r="L31" s="3"/>
      <c r="M31" s="3">
        <f>(O31/N31)</f>
        <v>-0.02333333333</v>
      </c>
      <c r="N31" s="3">
        <f t="shared" ref="N31:O31" si="8">SUM(N27:N30)</f>
        <v>15000</v>
      </c>
      <c r="O31" s="3">
        <f t="shared" si="8"/>
        <v>-350</v>
      </c>
      <c r="P31" s="3">
        <f>SUM(P27:P29)</f>
        <v>3855</v>
      </c>
      <c r="R31" s="1">
        <f>(O31*0.2)</f>
        <v>-70</v>
      </c>
    </row>
    <row r="32" ht="14.25" customHeight="1"/>
    <row r="33" ht="14.25" customHeight="1"/>
    <row r="34" ht="14.25" customHeight="1">
      <c r="A34" s="3" t="s">
        <v>14</v>
      </c>
      <c r="B34" s="3" t="s">
        <v>4</v>
      </c>
      <c r="C34" s="3">
        <v>5000.0</v>
      </c>
      <c r="D34" s="3">
        <v>253.0</v>
      </c>
      <c r="E34" s="3">
        <v>23.0</v>
      </c>
      <c r="F34" s="4"/>
      <c r="K34" s="1" t="s">
        <v>23</v>
      </c>
      <c r="L34" s="3" t="s">
        <v>14</v>
      </c>
      <c r="M34" s="3" t="s">
        <v>4</v>
      </c>
      <c r="N34" s="3">
        <v>5000.0</v>
      </c>
      <c r="O34" s="3">
        <v>250.0</v>
      </c>
      <c r="P34" s="3">
        <v>23.0</v>
      </c>
      <c r="R34" s="1">
        <f>(O34*0.2)</f>
        <v>50</v>
      </c>
    </row>
    <row r="35" ht="14.25" customHeight="1">
      <c r="A35" s="3"/>
      <c r="B35" s="3">
        <f>(D34/C34)</f>
        <v>0.0506</v>
      </c>
      <c r="C35" s="3"/>
      <c r="D35" s="3"/>
      <c r="E35" s="3"/>
      <c r="L35" s="3"/>
      <c r="M35" s="3">
        <f>(O34/N34)</f>
        <v>0.05</v>
      </c>
      <c r="N35" s="3"/>
      <c r="O35" s="3"/>
      <c r="P35" s="3"/>
    </row>
    <row r="36" ht="14.25" customHeight="1"/>
    <row r="37" ht="14.25" customHeight="1">
      <c r="A37" s="3" t="s">
        <v>15</v>
      </c>
      <c r="B37" s="3" t="s">
        <v>5</v>
      </c>
      <c r="C37" s="3">
        <v>5000.0</v>
      </c>
      <c r="D37" s="3">
        <v>519.0</v>
      </c>
      <c r="E37" s="3">
        <v>8.0</v>
      </c>
      <c r="K37" s="1" t="s">
        <v>25</v>
      </c>
      <c r="L37" s="3" t="s">
        <v>15</v>
      </c>
      <c r="M37" s="3" t="s">
        <v>5</v>
      </c>
      <c r="N37" s="3">
        <v>5000.0</v>
      </c>
      <c r="O37" s="3">
        <v>500.0</v>
      </c>
      <c r="P37" s="3">
        <v>8.0</v>
      </c>
      <c r="R37" s="1">
        <f>(O37*0.2)</f>
        <v>100</v>
      </c>
    </row>
    <row r="38" ht="14.25" customHeight="1">
      <c r="A38" s="3"/>
      <c r="B38" s="3">
        <f>(D37/C37)</f>
        <v>0.1038</v>
      </c>
      <c r="C38" s="3"/>
      <c r="D38" s="3"/>
      <c r="E38" s="3"/>
      <c r="L38" s="3"/>
      <c r="M38" s="3">
        <f>(O37/N37)</f>
        <v>0.1</v>
      </c>
      <c r="N38" s="3"/>
      <c r="O38" s="3"/>
      <c r="P38" s="3"/>
    </row>
    <row r="39" ht="14.25" customHeight="1"/>
    <row r="40" ht="14.25" customHeight="1">
      <c r="A40" s="3" t="s">
        <v>16</v>
      </c>
      <c r="B40" s="3" t="s">
        <v>4</v>
      </c>
      <c r="C40" s="3">
        <v>10000.0</v>
      </c>
      <c r="D40" s="3">
        <v>1000.0</v>
      </c>
      <c r="E40" s="3">
        <v>184.0</v>
      </c>
      <c r="K40" s="1" t="s">
        <v>23</v>
      </c>
      <c r="L40" s="3" t="s">
        <v>16</v>
      </c>
      <c r="M40" s="3" t="s">
        <v>4</v>
      </c>
      <c r="N40" s="3">
        <v>10000.0</v>
      </c>
      <c r="O40" s="3">
        <v>1000.0</v>
      </c>
      <c r="P40" s="3">
        <v>184.0</v>
      </c>
      <c r="R40" s="1" t="s">
        <v>26</v>
      </c>
    </row>
    <row r="41" ht="14.25" customHeight="1">
      <c r="A41" s="3"/>
      <c r="B41" s="3">
        <f>(D40/C40)</f>
        <v>0.1</v>
      </c>
      <c r="C41" s="3"/>
      <c r="D41" s="3"/>
      <c r="E41" s="3"/>
      <c r="L41" s="3"/>
      <c r="M41" s="3">
        <f>(O40/N40)</f>
        <v>0.1</v>
      </c>
      <c r="N41" s="3"/>
      <c r="O41" s="3"/>
      <c r="P41" s="3"/>
    </row>
    <row r="42" ht="14.25" customHeight="1"/>
    <row r="43" ht="14.25" customHeight="1">
      <c r="B43" s="1">
        <f>(D43/C43)</f>
        <v>0.04309945892</v>
      </c>
      <c r="C43" s="1">
        <f t="shared" ref="C43:E43" si="9">(C40+C37+C34+C31+C25+C18+C12)</f>
        <v>112368</v>
      </c>
      <c r="D43" s="1">
        <f t="shared" si="9"/>
        <v>4843</v>
      </c>
      <c r="E43" s="1">
        <f t="shared" si="9"/>
        <v>13559</v>
      </c>
      <c r="M43" s="1">
        <f>(O43/N43)</f>
        <v>0.04459459459</v>
      </c>
      <c r="N43" s="1">
        <f t="shared" ref="N43:P43" si="10">(N40+N37+N34+N31+N25+N18+N12)</f>
        <v>111000</v>
      </c>
      <c r="O43" s="1">
        <f t="shared" si="10"/>
        <v>4950</v>
      </c>
      <c r="P43" s="1">
        <f t="shared" si="10"/>
        <v>13959</v>
      </c>
    </row>
    <row r="44" ht="14.25" customHeight="1"/>
    <row r="45" ht="14.25" customHeight="1">
      <c r="Q45" s="1" t="s">
        <v>18</v>
      </c>
      <c r="R45" s="1">
        <f>SUM(R12:R40)</f>
        <v>2230</v>
      </c>
    </row>
    <row r="46" ht="14.25" customHeight="1">
      <c r="P46" s="1" t="s">
        <v>27</v>
      </c>
      <c r="Q46" s="1" t="s">
        <v>19</v>
      </c>
      <c r="R46" s="1">
        <v>125.0</v>
      </c>
    </row>
    <row r="47" ht="14.25" customHeight="1">
      <c r="Q47" s="1" t="s">
        <v>19</v>
      </c>
      <c r="R47" s="1">
        <v>325.0</v>
      </c>
    </row>
    <row r="48" ht="14.25" customHeight="1">
      <c r="Q48" s="1" t="s">
        <v>20</v>
      </c>
      <c r="S48" s="1">
        <v>258.0</v>
      </c>
    </row>
    <row r="49" ht="14.25" customHeight="1">
      <c r="Q49" s="1" t="s">
        <v>21</v>
      </c>
      <c r="S49" s="1">
        <v>42.0</v>
      </c>
    </row>
    <row r="50" ht="14.25" customHeight="1">
      <c r="Q50" s="1" t="s">
        <v>18</v>
      </c>
      <c r="R50" s="1">
        <f>SUM(R44:R48)</f>
        <v>2680</v>
      </c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>
      <c r="A2" s="2">
        <v>45748.0</v>
      </c>
    </row>
    <row r="3" ht="14.25" customHeight="1"/>
    <row r="4" ht="14.25" customHeight="1">
      <c r="A4" s="3" t="s">
        <v>1</v>
      </c>
      <c r="B4" s="3" t="s">
        <v>2</v>
      </c>
      <c r="C4" s="3">
        <v>10000.0</v>
      </c>
      <c r="D4" s="3">
        <v>0.0</v>
      </c>
      <c r="E4" s="3">
        <v>6200.0</v>
      </c>
    </row>
    <row r="5" ht="14.25" customHeight="1">
      <c r="A5" s="3" t="s">
        <v>3</v>
      </c>
      <c r="B5" s="3" t="s">
        <v>4</v>
      </c>
      <c r="C5" s="3">
        <v>5000.0</v>
      </c>
      <c r="D5" s="3">
        <v>465.0</v>
      </c>
      <c r="E5" s="3">
        <v>93.0</v>
      </c>
      <c r="F5" s="4"/>
    </row>
    <row r="6" ht="14.25" customHeight="1">
      <c r="A6" s="3" t="s">
        <v>1</v>
      </c>
      <c r="B6" s="3" t="s">
        <v>5</v>
      </c>
      <c r="C6" s="3">
        <v>3000.0</v>
      </c>
      <c r="D6" s="3">
        <v>180.0</v>
      </c>
      <c r="E6" s="3">
        <v>0.0</v>
      </c>
    </row>
    <row r="7" ht="14.25" customHeight="1">
      <c r="A7" s="3" t="s">
        <v>6</v>
      </c>
      <c r="B7" s="3" t="s">
        <v>5</v>
      </c>
      <c r="C7" s="3">
        <v>7000.0</v>
      </c>
      <c r="D7" s="3">
        <v>900.0</v>
      </c>
      <c r="E7" s="3">
        <v>454.0</v>
      </c>
    </row>
    <row r="8" ht="14.25" customHeight="1">
      <c r="A8" s="3" t="s">
        <v>6</v>
      </c>
      <c r="B8" s="3" t="s">
        <v>4</v>
      </c>
      <c r="C8" s="3">
        <v>5000.0</v>
      </c>
      <c r="D8" s="3">
        <v>-50.0</v>
      </c>
      <c r="E8" s="3">
        <v>0.0</v>
      </c>
      <c r="F8" s="4"/>
    </row>
    <row r="9" ht="14.25" customHeight="1">
      <c r="A9" s="3" t="s">
        <v>7</v>
      </c>
      <c r="B9" s="3" t="s">
        <v>5</v>
      </c>
      <c r="C9" s="3">
        <v>5000.0</v>
      </c>
      <c r="D9" s="3">
        <v>150.0</v>
      </c>
      <c r="E9" s="3">
        <v>0.0</v>
      </c>
    </row>
    <row r="10" ht="14.25" customHeight="1">
      <c r="A10" s="3" t="s">
        <v>8</v>
      </c>
      <c r="B10" s="3"/>
      <c r="C10" s="3">
        <v>5000.0</v>
      </c>
      <c r="D10" s="3">
        <v>300.0</v>
      </c>
      <c r="E10" s="3">
        <v>0.0</v>
      </c>
    </row>
    <row r="11" ht="14.25" customHeight="1">
      <c r="A11" s="3"/>
      <c r="B11" s="3"/>
      <c r="C11" s="3"/>
      <c r="D11" s="3"/>
      <c r="E11" s="3"/>
    </row>
    <row r="12" ht="14.25" customHeight="1">
      <c r="A12" s="3"/>
      <c r="B12" s="3">
        <f>(D12/C12)</f>
        <v>0.048625</v>
      </c>
      <c r="C12" s="3">
        <f t="shared" ref="C12:D12" si="1">SUM(C4:C11)</f>
        <v>40000</v>
      </c>
      <c r="D12" s="3">
        <f t="shared" si="1"/>
        <v>1945</v>
      </c>
      <c r="E12" s="3">
        <f>SUM(E4:E10)</f>
        <v>6747</v>
      </c>
    </row>
    <row r="13" ht="14.25" customHeight="1"/>
    <row r="14" ht="14.25" customHeight="1">
      <c r="A14" s="3" t="s">
        <v>9</v>
      </c>
      <c r="B14" s="3" t="s">
        <v>2</v>
      </c>
      <c r="C14" s="3">
        <v>7000.0</v>
      </c>
      <c r="D14" s="3">
        <v>-140.0</v>
      </c>
      <c r="E14" s="3">
        <v>1195.0</v>
      </c>
    </row>
    <row r="15" ht="14.25" customHeight="1">
      <c r="A15" s="3" t="s">
        <v>10</v>
      </c>
      <c r="B15" s="3" t="s">
        <v>2</v>
      </c>
      <c r="C15" s="3">
        <v>7000.0</v>
      </c>
      <c r="D15" s="3">
        <v>-870.0</v>
      </c>
      <c r="E15" s="3">
        <v>2653.0</v>
      </c>
    </row>
    <row r="16" ht="14.25" customHeight="1">
      <c r="A16" s="3" t="s">
        <v>11</v>
      </c>
      <c r="B16" s="3" t="s">
        <v>4</v>
      </c>
      <c r="C16" s="3">
        <v>7000.0</v>
      </c>
      <c r="D16" s="3">
        <v>-907.0</v>
      </c>
      <c r="E16" s="3">
        <v>2527.0</v>
      </c>
      <c r="F16" s="4"/>
    </row>
    <row r="17" ht="14.25" customHeight="1">
      <c r="A17" s="3"/>
      <c r="B17" s="3"/>
      <c r="C17" s="3"/>
      <c r="D17" s="3"/>
      <c r="E17" s="3"/>
    </row>
    <row r="18" ht="14.25" customHeight="1">
      <c r="A18" s="3"/>
      <c r="B18" s="3">
        <f>(D18/C18)</f>
        <v>-0.09128571429</v>
      </c>
      <c r="C18" s="3">
        <f t="shared" ref="C18:D18" si="2">SUM(C14:C17)</f>
        <v>21000</v>
      </c>
      <c r="D18" s="3">
        <f t="shared" si="2"/>
        <v>-1917</v>
      </c>
      <c r="E18" s="3">
        <f>SUM(E14:E16)</f>
        <v>6375</v>
      </c>
    </row>
    <row r="19" ht="14.25" customHeight="1"/>
    <row r="20" ht="14.25" customHeight="1">
      <c r="A20" s="3" t="s">
        <v>12</v>
      </c>
      <c r="B20" s="3" t="s">
        <v>2</v>
      </c>
      <c r="C20" s="3">
        <v>3500.0</v>
      </c>
      <c r="D20" s="3">
        <v>0.0</v>
      </c>
      <c r="E20" s="3">
        <v>3500.0</v>
      </c>
    </row>
    <row r="21" ht="14.25" customHeight="1">
      <c r="A21" s="3" t="s">
        <v>12</v>
      </c>
      <c r="B21" s="3" t="s">
        <v>4</v>
      </c>
      <c r="C21" s="3">
        <v>7000.0</v>
      </c>
      <c r="D21" s="3">
        <v>548.0</v>
      </c>
      <c r="E21" s="3">
        <v>0.0</v>
      </c>
      <c r="F21" s="4"/>
    </row>
    <row r="22" ht="14.25" customHeight="1">
      <c r="A22" s="3" t="s">
        <v>12</v>
      </c>
      <c r="B22" s="3" t="s">
        <v>5</v>
      </c>
      <c r="C22" s="3">
        <v>8500.0</v>
      </c>
      <c r="D22" s="3">
        <v>436.0</v>
      </c>
      <c r="E22" s="3">
        <v>0.0</v>
      </c>
    </row>
    <row r="23" ht="14.25" customHeight="1">
      <c r="A23" s="3"/>
      <c r="B23" s="3"/>
      <c r="C23" s="3"/>
      <c r="D23" s="3"/>
      <c r="E23" s="3"/>
    </row>
    <row r="24" ht="14.25" customHeight="1">
      <c r="A24" s="3"/>
      <c r="B24" s="3">
        <f>(D24/C24)</f>
        <v>0.05178947368</v>
      </c>
      <c r="C24" s="3">
        <f t="shared" ref="C24:E24" si="3">SUM(C20:C23)</f>
        <v>19000</v>
      </c>
      <c r="D24" s="3">
        <f t="shared" si="3"/>
        <v>984</v>
      </c>
      <c r="E24" s="3">
        <f t="shared" si="3"/>
        <v>3500</v>
      </c>
    </row>
    <row r="25" ht="14.25" customHeight="1"/>
    <row r="26" ht="14.25" customHeight="1">
      <c r="A26" s="3" t="s">
        <v>13</v>
      </c>
      <c r="B26" s="3" t="s">
        <v>2</v>
      </c>
      <c r="C26" s="3">
        <v>5000.0</v>
      </c>
      <c r="D26" s="3">
        <v>-581.0</v>
      </c>
      <c r="E26" s="3">
        <v>700.0</v>
      </c>
    </row>
    <row r="27" ht="14.25" customHeight="1">
      <c r="A27" s="3" t="s">
        <v>13</v>
      </c>
      <c r="B27" s="3" t="s">
        <v>4</v>
      </c>
      <c r="C27" s="3">
        <v>7500.0</v>
      </c>
      <c r="D27" s="3">
        <v>-3200.0</v>
      </c>
      <c r="E27" s="3">
        <v>0.0</v>
      </c>
      <c r="F27" s="4"/>
    </row>
    <row r="28" ht="14.25" customHeight="1">
      <c r="A28" s="3" t="s">
        <v>13</v>
      </c>
      <c r="B28" s="3" t="s">
        <v>5</v>
      </c>
      <c r="C28" s="3">
        <v>5000.0</v>
      </c>
      <c r="D28" s="3">
        <v>662.0</v>
      </c>
      <c r="E28" s="3">
        <v>533.0</v>
      </c>
    </row>
    <row r="29" ht="14.25" customHeight="1">
      <c r="A29" s="3"/>
      <c r="B29" s="3"/>
      <c r="C29" s="3"/>
      <c r="D29" s="3"/>
      <c r="E29" s="3"/>
    </row>
    <row r="30" ht="14.25" customHeight="1">
      <c r="A30" s="3"/>
      <c r="B30" s="3">
        <f>(D30/C30)</f>
        <v>-0.1782285714</v>
      </c>
      <c r="C30" s="3">
        <f t="shared" ref="C30:D30" si="4">SUM(C26:C29)</f>
        <v>17500</v>
      </c>
      <c r="D30" s="3">
        <f t="shared" si="4"/>
        <v>-3119</v>
      </c>
      <c r="E30" s="3">
        <f>SUM(E26:E28)</f>
        <v>1233</v>
      </c>
    </row>
    <row r="31" ht="14.25" customHeight="1"/>
    <row r="32" ht="14.25" customHeight="1"/>
    <row r="33" ht="14.25" customHeight="1">
      <c r="A33" s="3" t="s">
        <v>14</v>
      </c>
      <c r="B33" s="3" t="s">
        <v>4</v>
      </c>
      <c r="C33" s="3">
        <v>5000.0</v>
      </c>
      <c r="D33" s="3">
        <v>225.0</v>
      </c>
      <c r="E33" s="3">
        <v>0.0</v>
      </c>
      <c r="F33" s="4">
        <v>200.0</v>
      </c>
      <c r="G33" s="4">
        <v>40.0</v>
      </c>
    </row>
    <row r="34" ht="14.25" customHeight="1">
      <c r="A34" s="3"/>
      <c r="B34" s="3">
        <f>(D33/C33)</f>
        <v>0.045</v>
      </c>
      <c r="C34" s="3"/>
      <c r="D34" s="3"/>
      <c r="E34" s="3"/>
    </row>
    <row r="35" ht="14.25" customHeight="1"/>
    <row r="36" ht="14.25" customHeight="1">
      <c r="A36" s="3" t="s">
        <v>15</v>
      </c>
      <c r="B36" s="3" t="s">
        <v>5</v>
      </c>
      <c r="C36" s="3">
        <v>5000.0</v>
      </c>
      <c r="D36" s="3">
        <v>361.0</v>
      </c>
      <c r="E36" s="3">
        <v>270.0</v>
      </c>
      <c r="F36" s="4">
        <v>300.0</v>
      </c>
      <c r="G36" s="4">
        <v>60.0</v>
      </c>
    </row>
    <row r="37" ht="14.25" customHeight="1">
      <c r="A37" s="3"/>
      <c r="B37" s="3">
        <f>(D36/C36)</f>
        <v>0.0722</v>
      </c>
      <c r="C37" s="3"/>
      <c r="D37" s="3"/>
      <c r="E37" s="3"/>
    </row>
    <row r="38" ht="14.25" customHeight="1"/>
    <row r="39" ht="14.25" customHeight="1"/>
    <row r="40" ht="14.25" customHeight="1">
      <c r="B40" s="1">
        <f>(D40/C40)</f>
        <v>-0.01414883721</v>
      </c>
      <c r="C40" s="1">
        <f t="shared" ref="C40:E40" si="5">(C36+C33+C30+C24+C18+C12)</f>
        <v>107500</v>
      </c>
      <c r="D40" s="1">
        <f t="shared" si="5"/>
        <v>-1521</v>
      </c>
      <c r="E40" s="1">
        <f t="shared" si="5"/>
        <v>18125</v>
      </c>
    </row>
    <row r="41" ht="14.25" customHeight="1"/>
    <row r="42" ht="14.25" customHeight="1">
      <c r="F42" s="1" t="s">
        <v>18</v>
      </c>
      <c r="G42" s="1">
        <f>SUM(G10:G37)</f>
        <v>100</v>
      </c>
    </row>
    <row r="43" ht="14.25" customHeight="1">
      <c r="E43" s="1" t="s">
        <v>27</v>
      </c>
      <c r="F43" s="1" t="s">
        <v>19</v>
      </c>
      <c r="G43" s="1">
        <v>148.0</v>
      </c>
    </row>
    <row r="44" ht="14.25" customHeight="1">
      <c r="F44" s="1" t="s">
        <v>19</v>
      </c>
      <c r="G44" s="1">
        <v>17.0</v>
      </c>
    </row>
    <row r="45" ht="14.25" customHeight="1">
      <c r="F45" s="1" t="s">
        <v>20</v>
      </c>
      <c r="G45" s="1">
        <v>558.0</v>
      </c>
    </row>
    <row r="46" ht="14.25" customHeight="1">
      <c r="F46" s="1" t="s">
        <v>21</v>
      </c>
      <c r="G46" s="1">
        <v>127.0</v>
      </c>
    </row>
    <row r="47" ht="14.25" customHeight="1">
      <c r="F47" s="1" t="s">
        <v>18</v>
      </c>
      <c r="G47" s="1">
        <f>SUM(G41:G46)</f>
        <v>950</v>
      </c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2.43"/>
    <col customWidth="1" min="4" max="4" width="8.71"/>
    <col customWidth="1" min="5" max="5" width="11.71"/>
    <col customWidth="1" min="6" max="26" width="8.71"/>
  </cols>
  <sheetData>
    <row r="1" ht="14.25" customHeight="1">
      <c r="A1" s="2">
        <v>45778.0</v>
      </c>
    </row>
    <row r="2" ht="14.25" customHeight="1">
      <c r="C2" s="5" t="s">
        <v>28</v>
      </c>
      <c r="D2" s="5" t="s">
        <v>29</v>
      </c>
      <c r="E2" s="5" t="s">
        <v>30</v>
      </c>
      <c r="F2" s="5" t="s">
        <v>31</v>
      </c>
    </row>
    <row r="3" ht="14.25" customHeight="1">
      <c r="A3" s="3" t="s">
        <v>3</v>
      </c>
      <c r="B3" s="3" t="s">
        <v>4</v>
      </c>
      <c r="C3" s="3">
        <v>5000.0</v>
      </c>
      <c r="D3" s="6">
        <f t="shared" ref="D3:D11" si="1">(F3-C3)</f>
        <v>1000</v>
      </c>
      <c r="E3" s="3"/>
      <c r="F3" s="3">
        <v>6000.0</v>
      </c>
      <c r="G3" s="1" t="s">
        <v>32</v>
      </c>
    </row>
    <row r="4" ht="14.25" customHeight="1">
      <c r="A4" s="3" t="s">
        <v>1</v>
      </c>
      <c r="B4" s="3" t="s">
        <v>33</v>
      </c>
      <c r="C4" s="3">
        <v>3000.0</v>
      </c>
      <c r="D4" s="6">
        <f t="shared" si="1"/>
        <v>346</v>
      </c>
      <c r="E4" s="3"/>
      <c r="F4" s="3">
        <v>3346.0</v>
      </c>
      <c r="G4" s="1" t="s">
        <v>34</v>
      </c>
    </row>
    <row r="5" ht="14.25" customHeight="1">
      <c r="A5" s="3" t="s">
        <v>6</v>
      </c>
      <c r="B5" s="3" t="s">
        <v>35</v>
      </c>
      <c r="C5" s="3">
        <v>4000.0</v>
      </c>
      <c r="D5" s="6">
        <f t="shared" si="1"/>
        <v>-26</v>
      </c>
      <c r="E5" s="3"/>
      <c r="F5" s="3">
        <v>3974.0</v>
      </c>
    </row>
    <row r="6" ht="14.25" customHeight="1">
      <c r="A6" s="3" t="s">
        <v>6</v>
      </c>
      <c r="B6" s="3" t="s">
        <v>36</v>
      </c>
      <c r="C6" s="3">
        <v>5000.0</v>
      </c>
      <c r="D6" s="6">
        <f t="shared" si="1"/>
        <v>1329</v>
      </c>
      <c r="E6" s="3"/>
      <c r="F6" s="3">
        <v>6329.0</v>
      </c>
    </row>
    <row r="7" ht="14.25" customHeight="1">
      <c r="A7" s="3" t="s">
        <v>6</v>
      </c>
      <c r="B7" s="3" t="s">
        <v>4</v>
      </c>
      <c r="C7" s="3">
        <v>5000.0</v>
      </c>
      <c r="D7" s="6">
        <f t="shared" si="1"/>
        <v>-1052</v>
      </c>
      <c r="E7" s="3"/>
      <c r="F7" s="3">
        <v>3948.0</v>
      </c>
    </row>
    <row r="8" ht="14.25" customHeight="1">
      <c r="A8" s="3" t="s">
        <v>7</v>
      </c>
      <c r="B8" s="3" t="s">
        <v>5</v>
      </c>
      <c r="C8" s="3">
        <v>5000.0</v>
      </c>
      <c r="D8" s="6">
        <f t="shared" si="1"/>
        <v>234</v>
      </c>
      <c r="E8" s="3"/>
      <c r="F8" s="3">
        <v>5234.0</v>
      </c>
    </row>
    <row r="9" ht="14.25" customHeight="1">
      <c r="A9" s="3" t="s">
        <v>8</v>
      </c>
      <c r="B9" s="3"/>
      <c r="C9" s="3">
        <v>5000.0</v>
      </c>
      <c r="D9" s="6">
        <f t="shared" si="1"/>
        <v>500</v>
      </c>
      <c r="E9" s="3"/>
      <c r="F9" s="3">
        <v>5500.0</v>
      </c>
    </row>
    <row r="10" ht="14.25" customHeight="1">
      <c r="A10" s="3" t="s">
        <v>6</v>
      </c>
      <c r="B10" s="3" t="s">
        <v>37</v>
      </c>
      <c r="C10" s="3">
        <v>3000.0</v>
      </c>
      <c r="D10" s="6">
        <f t="shared" si="1"/>
        <v>0</v>
      </c>
      <c r="E10" s="3"/>
      <c r="F10" s="3">
        <v>3000.0</v>
      </c>
    </row>
    <row r="11" ht="14.25" customHeight="1">
      <c r="A11" s="3" t="s">
        <v>1</v>
      </c>
      <c r="B11" s="3" t="s">
        <v>2</v>
      </c>
      <c r="C11" s="3">
        <v>3000.0</v>
      </c>
      <c r="D11" s="6">
        <f t="shared" si="1"/>
        <v>0</v>
      </c>
      <c r="E11" s="3"/>
      <c r="F11" s="3">
        <v>3000.0</v>
      </c>
    </row>
    <row r="12" ht="14.25" customHeight="1">
      <c r="A12" s="3"/>
      <c r="B12" s="3">
        <f>(D12/C12)</f>
        <v>0.06134210526</v>
      </c>
      <c r="C12" s="3">
        <f t="shared" ref="C12:D12" si="2">SUM(C3:C11)</f>
        <v>38000</v>
      </c>
      <c r="D12" s="6">
        <f t="shared" si="2"/>
        <v>2331</v>
      </c>
      <c r="E12" s="3"/>
      <c r="F12" s="3">
        <f>SUM(F3:F11)</f>
        <v>40331</v>
      </c>
      <c r="G12" s="1" t="s">
        <v>38</v>
      </c>
    </row>
    <row r="13" ht="14.25" customHeight="1">
      <c r="E13" s="3"/>
      <c r="F13" s="3"/>
    </row>
    <row r="14" ht="14.25" customHeight="1">
      <c r="A14" s="3" t="s">
        <v>9</v>
      </c>
      <c r="B14" s="3" t="s">
        <v>2</v>
      </c>
      <c r="C14" s="3">
        <v>7000.0</v>
      </c>
      <c r="D14" s="6">
        <v>0.0</v>
      </c>
      <c r="E14" s="3">
        <f t="shared" ref="E14:E16" si="3">(C14-F14)</f>
        <v>591</v>
      </c>
      <c r="F14" s="3">
        <v>6409.0</v>
      </c>
    </row>
    <row r="15" ht="14.25" customHeight="1">
      <c r="A15" s="3" t="s">
        <v>10</v>
      </c>
      <c r="B15" s="3" t="s">
        <v>2</v>
      </c>
      <c r="C15" s="3">
        <v>7000.0</v>
      </c>
      <c r="D15" s="6">
        <v>0.0</v>
      </c>
      <c r="E15" s="3">
        <f t="shared" si="3"/>
        <v>2751</v>
      </c>
      <c r="F15" s="3">
        <v>4249.0</v>
      </c>
    </row>
    <row r="16" ht="14.25" customHeight="1">
      <c r="A16" s="3" t="s">
        <v>11</v>
      </c>
      <c r="B16" s="3" t="s">
        <v>4</v>
      </c>
      <c r="C16" s="3">
        <v>7000.0</v>
      </c>
      <c r="D16" s="6">
        <v>0.0</v>
      </c>
      <c r="E16" s="3">
        <f t="shared" si="3"/>
        <v>2445</v>
      </c>
      <c r="F16" s="3">
        <v>4555.0</v>
      </c>
    </row>
    <row r="17" ht="14.25" customHeight="1">
      <c r="A17" s="3"/>
      <c r="B17" s="3"/>
      <c r="C17" s="3"/>
      <c r="D17" s="6"/>
      <c r="E17" s="3"/>
      <c r="F17" s="3"/>
    </row>
    <row r="18" ht="14.25" customHeight="1">
      <c r="A18" s="3"/>
      <c r="B18" s="3">
        <f>(D18/C18)</f>
        <v>0</v>
      </c>
      <c r="C18" s="3">
        <f>SUM(C14:C17)</f>
        <v>21000</v>
      </c>
      <c r="D18" s="6">
        <v>0.0</v>
      </c>
      <c r="E18" s="3">
        <f t="shared" ref="E18:F18" si="4">SUM(E14:E17)</f>
        <v>5787</v>
      </c>
      <c r="F18" s="3">
        <f t="shared" si="4"/>
        <v>15213</v>
      </c>
    </row>
    <row r="19" ht="14.25" customHeight="1">
      <c r="E19" s="3"/>
      <c r="F19" s="3"/>
    </row>
    <row r="20" ht="14.25" customHeight="1">
      <c r="A20" s="3" t="s">
        <v>12</v>
      </c>
      <c r="B20" s="3" t="s">
        <v>4</v>
      </c>
      <c r="C20" s="3">
        <v>9000.0</v>
      </c>
      <c r="D20" s="6">
        <v>501.0</v>
      </c>
      <c r="E20" s="3">
        <v>999.0</v>
      </c>
      <c r="F20" s="3">
        <v>8001.0</v>
      </c>
    </row>
    <row r="21" ht="14.25" customHeight="1">
      <c r="A21" s="3" t="s">
        <v>12</v>
      </c>
      <c r="B21" s="3" t="s">
        <v>5</v>
      </c>
      <c r="C21" s="3">
        <v>10000.0</v>
      </c>
      <c r="D21" s="6">
        <v>501.0</v>
      </c>
      <c r="E21" s="3">
        <v>515.0</v>
      </c>
      <c r="F21" s="3">
        <v>9485.0</v>
      </c>
    </row>
    <row r="22" ht="14.25" customHeight="1">
      <c r="A22" s="3"/>
      <c r="B22" s="3"/>
      <c r="C22" s="3"/>
      <c r="D22" s="6"/>
      <c r="E22" s="3"/>
      <c r="F22" s="3"/>
    </row>
    <row r="23" ht="14.25" customHeight="1">
      <c r="A23" s="3"/>
      <c r="B23" s="3">
        <f>(D23/C23)</f>
        <v>0.05273684211</v>
      </c>
      <c r="C23" s="3">
        <f>SUM(C20:C22)</f>
        <v>19000</v>
      </c>
      <c r="D23" s="6">
        <f t="shared" ref="D23:F23" si="5">(D20+D21)</f>
        <v>1002</v>
      </c>
      <c r="E23" s="3">
        <f t="shared" si="5"/>
        <v>1514</v>
      </c>
      <c r="F23" s="3">
        <f t="shared" si="5"/>
        <v>17486</v>
      </c>
    </row>
    <row r="24" ht="14.25" customHeight="1">
      <c r="E24" s="3"/>
      <c r="F24" s="3"/>
    </row>
    <row r="25" ht="14.25" customHeight="1">
      <c r="A25" s="3" t="s">
        <v>13</v>
      </c>
      <c r="B25" s="3" t="s">
        <v>4</v>
      </c>
      <c r="C25" s="3">
        <v>8500.0</v>
      </c>
      <c r="D25" s="6">
        <v>0.0</v>
      </c>
      <c r="E25" s="3">
        <f t="shared" ref="E25:E26" si="6">(C25-F25)</f>
        <v>1326</v>
      </c>
      <c r="F25" s="3">
        <v>7174.0</v>
      </c>
    </row>
    <row r="26" ht="14.25" customHeight="1">
      <c r="A26" s="3" t="s">
        <v>13</v>
      </c>
      <c r="B26" s="3" t="s">
        <v>5</v>
      </c>
      <c r="C26" s="3">
        <v>9000.0</v>
      </c>
      <c r="D26" s="6">
        <v>0.0</v>
      </c>
      <c r="E26" s="3">
        <f t="shared" si="6"/>
        <v>1337</v>
      </c>
      <c r="F26" s="3">
        <v>7663.0</v>
      </c>
    </row>
    <row r="27" ht="14.25" customHeight="1">
      <c r="A27" s="3"/>
      <c r="B27" s="3"/>
      <c r="C27" s="3"/>
      <c r="D27" s="3"/>
      <c r="E27" s="3"/>
      <c r="F27" s="3"/>
    </row>
    <row r="28" ht="14.25" customHeight="1">
      <c r="A28" s="3"/>
      <c r="B28" s="3">
        <f>(D28/C28)</f>
        <v>0</v>
      </c>
      <c r="C28" s="3">
        <f>SUM(C25:C27)</f>
        <v>17500</v>
      </c>
      <c r="D28" s="3">
        <v>0.0</v>
      </c>
      <c r="E28" s="3">
        <f t="shared" ref="E28:F28" si="7">SUM(E25:E27)</f>
        <v>2663</v>
      </c>
      <c r="F28" s="3">
        <f t="shared" si="7"/>
        <v>14837</v>
      </c>
    </row>
    <row r="29" ht="14.25" customHeight="1">
      <c r="A29" s="3"/>
      <c r="B29" s="3"/>
      <c r="C29" s="3"/>
      <c r="D29" s="3"/>
      <c r="E29" s="3"/>
      <c r="F29" s="3"/>
    </row>
    <row r="30" ht="14.25" customHeight="1">
      <c r="A30" s="3"/>
      <c r="B30" s="3"/>
      <c r="C30" s="3"/>
      <c r="D30" s="3"/>
      <c r="E30" s="3"/>
      <c r="F30" s="3"/>
    </row>
    <row r="31" ht="14.25" customHeight="1">
      <c r="A31" s="3" t="s">
        <v>14</v>
      </c>
      <c r="B31" s="3" t="s">
        <v>4</v>
      </c>
      <c r="C31" s="3">
        <v>5000.0</v>
      </c>
      <c r="D31" s="3">
        <v>143.0</v>
      </c>
      <c r="E31" s="3">
        <v>-143.0</v>
      </c>
      <c r="F31" s="3">
        <v>5143.0</v>
      </c>
      <c r="G31" s="7">
        <v>150.0</v>
      </c>
      <c r="H31" s="7">
        <v>30.0</v>
      </c>
    </row>
    <row r="32" ht="14.25" customHeight="1">
      <c r="A32" s="3"/>
      <c r="B32" s="3">
        <f>(D31/C31)</f>
        <v>0.0286</v>
      </c>
      <c r="C32" s="3"/>
      <c r="D32" s="3"/>
      <c r="E32" s="3"/>
      <c r="F32" s="3"/>
    </row>
    <row r="33" ht="14.25" customHeight="1">
      <c r="E33" s="3"/>
      <c r="F33" s="3"/>
    </row>
    <row r="34" ht="14.25" customHeight="1">
      <c r="A34" s="3" t="s">
        <v>15</v>
      </c>
      <c r="B34" s="3" t="s">
        <v>5</v>
      </c>
      <c r="C34" s="3">
        <v>5000.0</v>
      </c>
      <c r="D34" s="6">
        <v>300.0</v>
      </c>
      <c r="E34" s="3">
        <f>(C34-F34)</f>
        <v>-300</v>
      </c>
      <c r="F34" s="3">
        <v>5300.0</v>
      </c>
      <c r="G34" s="7">
        <v>300.0</v>
      </c>
      <c r="H34" s="7">
        <v>60.0</v>
      </c>
    </row>
    <row r="35" ht="14.25" customHeight="1">
      <c r="A35" s="3"/>
      <c r="B35" s="3">
        <f>(D34/C34)</f>
        <v>0.06</v>
      </c>
      <c r="C35" s="3"/>
      <c r="D35" s="6"/>
      <c r="E35" s="3"/>
      <c r="F35" s="3"/>
    </row>
    <row r="36" ht="14.25" customHeight="1"/>
    <row r="37" ht="14.25" customHeight="1"/>
    <row r="38" ht="14.25" customHeight="1">
      <c r="B38" s="1">
        <f>(D38/C38)</f>
        <v>0.03579146919</v>
      </c>
      <c r="C38" s="1">
        <f t="shared" ref="C38:E38" si="8">(C34+C31+C28+C23+C18+C12)</f>
        <v>105500</v>
      </c>
      <c r="D38" s="1">
        <f t="shared" si="8"/>
        <v>3776</v>
      </c>
      <c r="E38" s="1">
        <f t="shared" si="8"/>
        <v>9521</v>
      </c>
    </row>
    <row r="39" ht="14.25" customHeight="1"/>
    <row r="40" ht="14.25" customHeight="1">
      <c r="G40" s="1" t="s">
        <v>18</v>
      </c>
      <c r="H40" s="1">
        <f>SUM(H31:H35)</f>
        <v>90</v>
      </c>
    </row>
    <row r="41" ht="14.25" customHeight="1">
      <c r="F41" s="1" t="s">
        <v>27</v>
      </c>
      <c r="G41" s="1" t="s">
        <v>19</v>
      </c>
      <c r="H41" s="1">
        <v>95.25</v>
      </c>
    </row>
    <row r="42" ht="14.25" customHeight="1">
      <c r="F42" s="1" t="s">
        <v>39</v>
      </c>
      <c r="G42" s="1" t="s">
        <v>19</v>
      </c>
      <c r="H42" s="1">
        <v>12.21</v>
      </c>
    </row>
    <row r="43" ht="14.25" customHeight="1">
      <c r="G43" s="1" t="s">
        <v>20</v>
      </c>
      <c r="H43" s="1">
        <v>38.0</v>
      </c>
    </row>
    <row r="44" ht="14.25" customHeight="1">
      <c r="G44" s="1" t="s">
        <v>21</v>
      </c>
      <c r="H44" s="1">
        <v>170.48</v>
      </c>
    </row>
    <row r="45" ht="14.25" customHeight="1">
      <c r="G45" s="5" t="s">
        <v>18</v>
      </c>
      <c r="H45" s="5">
        <f>SUM(H40:H43)</f>
        <v>235.46</v>
      </c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2.14"/>
    <col customWidth="1" min="6" max="26" width="8.71"/>
  </cols>
  <sheetData>
    <row r="1" ht="14.25" customHeight="1">
      <c r="A1" s="2">
        <v>45809.0</v>
      </c>
    </row>
    <row r="2" ht="14.25" customHeight="1">
      <c r="C2" s="5" t="s">
        <v>28</v>
      </c>
      <c r="D2" s="5" t="s">
        <v>29</v>
      </c>
      <c r="E2" s="5" t="s">
        <v>30</v>
      </c>
      <c r="F2" s="5" t="s">
        <v>31</v>
      </c>
    </row>
    <row r="3" ht="14.25" customHeight="1">
      <c r="A3" s="3" t="s">
        <v>3</v>
      </c>
      <c r="B3" s="3" t="s">
        <v>4</v>
      </c>
      <c r="C3" s="3">
        <v>6000.0</v>
      </c>
      <c r="D3" s="6">
        <f t="shared" ref="D3:D11" si="1">(F3-C3)</f>
        <v>327</v>
      </c>
      <c r="E3" s="3">
        <v>743.0</v>
      </c>
      <c r="F3" s="3">
        <v>6327.0</v>
      </c>
      <c r="G3" s="1" t="s">
        <v>39</v>
      </c>
      <c r="H3" s="1">
        <f t="shared" ref="H3:H11" si="2">(D3/C3)</f>
        <v>0.0545</v>
      </c>
    </row>
    <row r="4" ht="14.25" customHeight="1">
      <c r="A4" s="3" t="s">
        <v>1</v>
      </c>
      <c r="B4" s="3" t="s">
        <v>33</v>
      </c>
      <c r="C4" s="3">
        <v>3346.0</v>
      </c>
      <c r="D4" s="6">
        <f t="shared" si="1"/>
        <v>350</v>
      </c>
      <c r="E4" s="3">
        <v>338.0</v>
      </c>
      <c r="F4" s="3">
        <v>3696.0</v>
      </c>
      <c r="G4" s="1" t="s">
        <v>7</v>
      </c>
      <c r="H4" s="1">
        <f t="shared" si="2"/>
        <v>0.1046025105</v>
      </c>
    </row>
    <row r="5" ht="14.25" customHeight="1">
      <c r="A5" s="3" t="s">
        <v>6</v>
      </c>
      <c r="B5" s="3" t="s">
        <v>35</v>
      </c>
      <c r="C5" s="3">
        <v>3974.0</v>
      </c>
      <c r="D5" s="6">
        <f t="shared" si="1"/>
        <v>350</v>
      </c>
      <c r="E5" s="3">
        <v>350.0</v>
      </c>
      <c r="F5" s="3">
        <v>4324.0</v>
      </c>
      <c r="G5" s="1" t="s">
        <v>7</v>
      </c>
      <c r="H5" s="1">
        <f t="shared" si="2"/>
        <v>0.08807247106</v>
      </c>
    </row>
    <row r="6" ht="14.25" customHeight="1">
      <c r="A6" s="3" t="s">
        <v>6</v>
      </c>
      <c r="B6" s="3" t="s">
        <v>36</v>
      </c>
      <c r="C6" s="3">
        <v>6329.0</v>
      </c>
      <c r="D6" s="6">
        <f t="shared" si="1"/>
        <v>463</v>
      </c>
      <c r="E6" s="3">
        <v>637.0</v>
      </c>
      <c r="F6" s="3">
        <v>6792.0</v>
      </c>
      <c r="G6" s="1" t="s">
        <v>40</v>
      </c>
      <c r="H6" s="1">
        <f t="shared" si="2"/>
        <v>0.0731553168</v>
      </c>
    </row>
    <row r="7" ht="14.25" customHeight="1">
      <c r="A7" s="3" t="s">
        <v>6</v>
      </c>
      <c r="B7" s="3" t="s">
        <v>4</v>
      </c>
      <c r="C7" s="3">
        <v>3948.0</v>
      </c>
      <c r="D7" s="6">
        <f t="shared" si="1"/>
        <v>243</v>
      </c>
      <c r="E7" s="3">
        <v>1180.0</v>
      </c>
      <c r="F7" s="3">
        <v>4191.0</v>
      </c>
      <c r="G7" s="1" t="s">
        <v>39</v>
      </c>
      <c r="H7" s="1">
        <f t="shared" si="2"/>
        <v>0.06155015198</v>
      </c>
    </row>
    <row r="8" ht="14.25" customHeight="1">
      <c r="A8" s="3" t="s">
        <v>7</v>
      </c>
      <c r="B8" s="3" t="s">
        <v>5</v>
      </c>
      <c r="C8" s="3">
        <v>5234.0</v>
      </c>
      <c r="D8" s="6">
        <f t="shared" si="1"/>
        <v>118</v>
      </c>
      <c r="E8" s="3">
        <v>1045.0</v>
      </c>
      <c r="F8" s="3">
        <v>5352.0</v>
      </c>
      <c r="G8" s="1" t="s">
        <v>40</v>
      </c>
      <c r="H8" s="1">
        <f t="shared" si="2"/>
        <v>0.02254489874</v>
      </c>
    </row>
    <row r="9" ht="14.25" customHeight="1">
      <c r="A9" s="3" t="s">
        <v>8</v>
      </c>
      <c r="B9" s="3"/>
      <c r="C9" s="3">
        <v>5500.0</v>
      </c>
      <c r="D9" s="6">
        <f t="shared" si="1"/>
        <v>270</v>
      </c>
      <c r="E9" s="3">
        <v>30.0</v>
      </c>
      <c r="F9" s="3">
        <v>5770.0</v>
      </c>
      <c r="G9" s="1" t="s">
        <v>7</v>
      </c>
      <c r="H9" s="1">
        <f t="shared" si="2"/>
        <v>0.04909090909</v>
      </c>
    </row>
    <row r="10" ht="14.25" customHeight="1">
      <c r="A10" s="3" t="s">
        <v>6</v>
      </c>
      <c r="B10" s="3" t="s">
        <v>37</v>
      </c>
      <c r="C10" s="3">
        <v>3000.0</v>
      </c>
      <c r="D10" s="6">
        <f t="shared" si="1"/>
        <v>344</v>
      </c>
      <c r="E10" s="3">
        <v>194.0</v>
      </c>
      <c r="F10" s="3">
        <v>3344.0</v>
      </c>
      <c r="G10" s="1" t="s">
        <v>41</v>
      </c>
      <c r="H10" s="1">
        <f t="shared" si="2"/>
        <v>0.1146666667</v>
      </c>
    </row>
    <row r="11" ht="14.25" customHeight="1">
      <c r="A11" s="3" t="s">
        <v>1</v>
      </c>
      <c r="B11" s="3" t="s">
        <v>2</v>
      </c>
      <c r="C11" s="3">
        <v>3000.0</v>
      </c>
      <c r="D11" s="6">
        <f t="shared" si="1"/>
        <v>335</v>
      </c>
      <c r="E11" s="3">
        <v>229.0</v>
      </c>
      <c r="F11" s="3">
        <v>3335.0</v>
      </c>
      <c r="G11" s="1" t="s">
        <v>42</v>
      </c>
      <c r="H11" s="1">
        <f t="shared" si="2"/>
        <v>0.1116666667</v>
      </c>
    </row>
    <row r="12" ht="14.25" customHeight="1">
      <c r="A12" s="3"/>
      <c r="B12" s="3">
        <f>(D12/C12)</f>
        <v>0.06942550395</v>
      </c>
      <c r="C12" s="3">
        <f t="shared" ref="C12:F12" si="3">SUM(C3:C11)</f>
        <v>40331</v>
      </c>
      <c r="D12" s="6">
        <f t="shared" si="3"/>
        <v>2800</v>
      </c>
      <c r="E12" s="3">
        <f t="shared" si="3"/>
        <v>4746</v>
      </c>
      <c r="F12" s="3">
        <f t="shared" si="3"/>
        <v>43131</v>
      </c>
    </row>
    <row r="13" ht="14.25" customHeight="1">
      <c r="E13" s="3"/>
      <c r="F13" s="3"/>
    </row>
    <row r="14" ht="14.25" customHeight="1">
      <c r="A14" s="3" t="s">
        <v>9</v>
      </c>
      <c r="B14" s="3" t="s">
        <v>2</v>
      </c>
      <c r="C14" s="3">
        <v>7000.0</v>
      </c>
      <c r="D14" s="6">
        <v>0.0</v>
      </c>
      <c r="E14" s="3">
        <f t="shared" ref="E14:E16" si="4">(C14-F14)</f>
        <v>197</v>
      </c>
      <c r="F14" s="3">
        <v>6803.0</v>
      </c>
    </row>
    <row r="15" ht="14.25" customHeight="1">
      <c r="A15" s="3" t="s">
        <v>10</v>
      </c>
      <c r="B15" s="3" t="s">
        <v>2</v>
      </c>
      <c r="C15" s="3">
        <v>7000.0</v>
      </c>
      <c r="D15" s="6">
        <v>0.0</v>
      </c>
      <c r="E15" s="3">
        <f t="shared" si="4"/>
        <v>2360</v>
      </c>
      <c r="F15" s="3">
        <v>4640.0</v>
      </c>
    </row>
    <row r="16" ht="14.25" customHeight="1">
      <c r="A16" s="3" t="s">
        <v>11</v>
      </c>
      <c r="B16" s="3" t="s">
        <v>4</v>
      </c>
      <c r="C16" s="3">
        <v>7000.0</v>
      </c>
      <c r="D16" s="6">
        <v>0.0</v>
      </c>
      <c r="E16" s="3">
        <f t="shared" si="4"/>
        <v>2012</v>
      </c>
      <c r="F16" s="3">
        <v>4988.0</v>
      </c>
    </row>
    <row r="17" ht="14.25" customHeight="1">
      <c r="A17" s="3"/>
      <c r="B17" s="3"/>
      <c r="C17" s="3"/>
      <c r="D17" s="6"/>
      <c r="E17" s="3"/>
      <c r="F17" s="3"/>
    </row>
    <row r="18" ht="14.25" customHeight="1">
      <c r="A18" s="3"/>
      <c r="B18" s="3">
        <f>(D18/C18)</f>
        <v>0</v>
      </c>
      <c r="C18" s="3">
        <f>SUM(C14:C17)</f>
        <v>21000</v>
      </c>
      <c r="D18" s="6">
        <v>0.0</v>
      </c>
      <c r="E18" s="3">
        <f t="shared" ref="E18:F18" si="5">SUM(E14:E17)</f>
        <v>4569</v>
      </c>
      <c r="F18" s="3">
        <f t="shared" si="5"/>
        <v>16431</v>
      </c>
    </row>
    <row r="19" ht="14.25" customHeight="1">
      <c r="E19" s="3"/>
      <c r="F19" s="3"/>
    </row>
    <row r="20" ht="14.25" customHeight="1">
      <c r="A20" s="3" t="s">
        <v>12</v>
      </c>
      <c r="B20" s="3" t="s">
        <v>4</v>
      </c>
      <c r="C20" s="3">
        <v>9000.0</v>
      </c>
      <c r="D20" s="6">
        <v>0.0</v>
      </c>
      <c r="E20" s="3">
        <v>1456.0</v>
      </c>
      <c r="F20" s="3">
        <v>8564.0</v>
      </c>
    </row>
    <row r="21" ht="14.25" customHeight="1">
      <c r="A21" s="3" t="s">
        <v>12</v>
      </c>
      <c r="B21" s="3" t="s">
        <v>5</v>
      </c>
      <c r="C21" s="3">
        <v>10000.0</v>
      </c>
      <c r="D21" s="6">
        <v>0.0</v>
      </c>
      <c r="E21" s="3">
        <v>633.0</v>
      </c>
      <c r="F21" s="3">
        <v>9848.0</v>
      </c>
    </row>
    <row r="22" ht="14.25" customHeight="1">
      <c r="A22" s="3"/>
      <c r="B22" s="3"/>
      <c r="C22" s="3"/>
      <c r="D22" s="6">
        <v>0.0</v>
      </c>
      <c r="E22" s="3"/>
      <c r="F22" s="3"/>
    </row>
    <row r="23" ht="14.25" customHeight="1">
      <c r="A23" s="3"/>
      <c r="B23" s="3">
        <f>(D23/C23)</f>
        <v>0</v>
      </c>
      <c r="C23" s="3">
        <f>SUM(C20:C22)</f>
        <v>19000</v>
      </c>
      <c r="D23" s="6">
        <f t="shared" ref="D23:F23" si="6">(D20+D21)</f>
        <v>0</v>
      </c>
      <c r="E23" s="3">
        <f t="shared" si="6"/>
        <v>2089</v>
      </c>
      <c r="F23" s="3">
        <f t="shared" si="6"/>
        <v>18412</v>
      </c>
    </row>
    <row r="24" ht="14.25" customHeight="1">
      <c r="E24" s="3"/>
      <c r="F24" s="3"/>
    </row>
    <row r="25" ht="14.25" customHeight="1">
      <c r="A25" s="3" t="s">
        <v>13</v>
      </c>
      <c r="B25" s="3" t="s">
        <v>4</v>
      </c>
      <c r="C25" s="3">
        <v>8500.0</v>
      </c>
      <c r="D25" s="6">
        <v>0.0</v>
      </c>
      <c r="E25" s="3">
        <v>1430.0</v>
      </c>
      <c r="F25" s="3">
        <v>7339.0</v>
      </c>
    </row>
    <row r="26" ht="14.25" customHeight="1">
      <c r="A26" s="3" t="s">
        <v>13</v>
      </c>
      <c r="B26" s="3" t="s">
        <v>5</v>
      </c>
      <c r="C26" s="3">
        <v>9000.0</v>
      </c>
      <c r="D26" s="6">
        <v>0.0</v>
      </c>
      <c r="E26" s="3">
        <v>633.0</v>
      </c>
      <c r="F26" s="3">
        <v>7770.0</v>
      </c>
    </row>
    <row r="27" ht="14.25" customHeight="1">
      <c r="A27" s="3"/>
      <c r="B27" s="3"/>
      <c r="C27" s="3"/>
      <c r="D27" s="3"/>
      <c r="E27" s="3"/>
      <c r="F27" s="3"/>
    </row>
    <row r="28" ht="14.25" customHeight="1">
      <c r="A28" s="3"/>
      <c r="B28" s="3">
        <f>(D28/C28)</f>
        <v>0</v>
      </c>
      <c r="C28" s="3">
        <f>SUM(C25:C27)</f>
        <v>17500</v>
      </c>
      <c r="D28" s="3">
        <v>0.0</v>
      </c>
      <c r="E28" s="3">
        <f t="shared" ref="E28:F28" si="7">SUM(E25:E27)</f>
        <v>2063</v>
      </c>
      <c r="F28" s="3">
        <f t="shared" si="7"/>
        <v>15109</v>
      </c>
    </row>
    <row r="29" ht="14.25" customHeight="1">
      <c r="A29" s="3"/>
      <c r="B29" s="3"/>
      <c r="C29" s="3"/>
      <c r="D29" s="3"/>
      <c r="E29" s="3"/>
      <c r="F29" s="3"/>
    </row>
    <row r="30" ht="14.25" customHeight="1">
      <c r="A30" s="3"/>
      <c r="B30" s="3"/>
      <c r="C30" s="3"/>
      <c r="D30" s="3"/>
      <c r="E30" s="3"/>
      <c r="F30" s="3"/>
    </row>
    <row r="31" ht="14.25" customHeight="1">
      <c r="A31" s="3" t="s">
        <v>14</v>
      </c>
      <c r="B31" s="3" t="s">
        <v>4</v>
      </c>
      <c r="C31" s="3">
        <v>5000.0</v>
      </c>
      <c r="D31" s="3">
        <f>(F31-C31)</f>
        <v>324</v>
      </c>
      <c r="E31" s="3">
        <v>340.0</v>
      </c>
      <c r="F31" s="3">
        <v>5324.0</v>
      </c>
      <c r="G31" s="7">
        <v>300.0</v>
      </c>
      <c r="H31" s="7">
        <v>60.0</v>
      </c>
    </row>
    <row r="32" ht="14.25" customHeight="1">
      <c r="A32" s="3"/>
      <c r="B32" s="3">
        <f>(D31/C31)</f>
        <v>0.0648</v>
      </c>
      <c r="C32" s="3"/>
      <c r="D32" s="3"/>
      <c r="E32" s="3"/>
      <c r="F32" s="3"/>
    </row>
    <row r="33" ht="14.25" customHeight="1">
      <c r="E33" s="3"/>
      <c r="F33" s="3"/>
    </row>
    <row r="34" ht="14.25" customHeight="1">
      <c r="A34" s="3" t="s">
        <v>15</v>
      </c>
      <c r="B34" s="3" t="s">
        <v>5</v>
      </c>
      <c r="C34" s="3">
        <v>5000.0</v>
      </c>
      <c r="D34" s="6">
        <f>(F34-C34)</f>
        <v>308</v>
      </c>
      <c r="E34" s="3">
        <v>615.0</v>
      </c>
      <c r="F34" s="3">
        <v>5308.0</v>
      </c>
      <c r="G34" s="7">
        <v>300.0</v>
      </c>
      <c r="H34" s="7">
        <v>60.0</v>
      </c>
    </row>
    <row r="35" ht="14.25" customHeight="1">
      <c r="A35" s="3"/>
      <c r="B35" s="3">
        <f>(D34/C34)</f>
        <v>0.0616</v>
      </c>
      <c r="C35" s="3"/>
      <c r="D35" s="6"/>
      <c r="E35" s="3"/>
      <c r="F35" s="3"/>
    </row>
    <row r="36" ht="14.25" customHeight="1"/>
    <row r="37" ht="14.25" customHeight="1"/>
    <row r="38" ht="14.25" customHeight="1">
      <c r="B38" s="1">
        <f>(D38/C38)</f>
        <v>0.03182758205</v>
      </c>
      <c r="C38" s="1">
        <f t="shared" ref="C38:E38" si="8">(C34+C31+C28+C23+C18+C12)</f>
        <v>107831</v>
      </c>
      <c r="D38" s="1">
        <f t="shared" si="8"/>
        <v>3432</v>
      </c>
      <c r="E38" s="1">
        <f t="shared" si="8"/>
        <v>14422</v>
      </c>
    </row>
    <row r="39" ht="14.25" customHeight="1"/>
    <row r="40" ht="14.25" customHeight="1">
      <c r="G40" s="1" t="s">
        <v>18</v>
      </c>
      <c r="H40" s="1" t="s">
        <v>43</v>
      </c>
    </row>
    <row r="41" ht="14.25" customHeight="1">
      <c r="F41" s="1" t="s">
        <v>27</v>
      </c>
      <c r="G41" s="1" t="s">
        <v>19</v>
      </c>
      <c r="H41" s="1">
        <v>186.0</v>
      </c>
    </row>
    <row r="42" ht="14.25" customHeight="1">
      <c r="F42" s="1" t="s">
        <v>39</v>
      </c>
      <c r="G42" s="1" t="s">
        <v>19</v>
      </c>
      <c r="H42" s="1">
        <v>19.0</v>
      </c>
    </row>
    <row r="43" ht="14.25" customHeight="1">
      <c r="G43" s="1" t="s">
        <v>20</v>
      </c>
      <c r="H43" s="1">
        <v>0.0</v>
      </c>
    </row>
    <row r="44" ht="14.25" customHeight="1">
      <c r="G44" s="1" t="s">
        <v>21</v>
      </c>
      <c r="H44" s="1">
        <v>241.0</v>
      </c>
    </row>
    <row r="45" ht="14.25" customHeight="1">
      <c r="G45" s="5" t="s">
        <v>18</v>
      </c>
      <c r="H45" s="5">
        <f>SUM(H40:H44)</f>
        <v>446</v>
      </c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6" width="8.71"/>
  </cols>
  <sheetData>
    <row r="1" ht="14.25" customHeight="1">
      <c r="A1" s="2">
        <v>45839.0</v>
      </c>
    </row>
    <row r="2" ht="14.25" customHeight="1">
      <c r="C2" s="5" t="s">
        <v>28</v>
      </c>
      <c r="D2" s="5" t="s">
        <v>29</v>
      </c>
      <c r="E2" s="5" t="s">
        <v>30</v>
      </c>
      <c r="F2" s="5" t="s">
        <v>31</v>
      </c>
    </row>
    <row r="3" ht="14.25" customHeight="1">
      <c r="A3" s="3" t="s">
        <v>3</v>
      </c>
      <c r="B3" s="3" t="s">
        <v>44</v>
      </c>
      <c r="C3" s="3">
        <v>6000.0</v>
      </c>
      <c r="D3" s="6">
        <f t="shared" ref="D3:D11" si="1">(F3-C3)</f>
        <v>1284</v>
      </c>
      <c r="E3" s="3">
        <v>308.0</v>
      </c>
      <c r="F3" s="3">
        <v>7284.0</v>
      </c>
      <c r="G3" s="4">
        <v>1000.0</v>
      </c>
      <c r="I3" s="1" t="s">
        <v>39</v>
      </c>
    </row>
    <row r="4" ht="14.25" customHeight="1">
      <c r="A4" s="3" t="s">
        <v>1</v>
      </c>
      <c r="B4" s="3" t="s">
        <v>33</v>
      </c>
      <c r="C4" s="3">
        <v>3346.0</v>
      </c>
      <c r="D4" s="6">
        <f t="shared" si="1"/>
        <v>476</v>
      </c>
      <c r="E4" s="3">
        <v>0.0</v>
      </c>
      <c r="F4" s="3">
        <v>3822.0</v>
      </c>
      <c r="G4" s="4">
        <v>500.0</v>
      </c>
      <c r="I4" s="1" t="s">
        <v>7</v>
      </c>
    </row>
    <row r="5" ht="14.25" customHeight="1">
      <c r="A5" s="3" t="s">
        <v>6</v>
      </c>
      <c r="B5" s="3" t="s">
        <v>35</v>
      </c>
      <c r="C5" s="3">
        <v>3974.0</v>
      </c>
      <c r="D5" s="6">
        <f t="shared" si="1"/>
        <v>474</v>
      </c>
      <c r="E5" s="3">
        <v>0.0</v>
      </c>
      <c r="F5" s="3">
        <v>4448.0</v>
      </c>
      <c r="G5" s="4">
        <v>500.0</v>
      </c>
      <c r="I5" s="1" t="s">
        <v>7</v>
      </c>
    </row>
    <row r="6" ht="14.25" customHeight="1">
      <c r="A6" s="3" t="s">
        <v>6</v>
      </c>
      <c r="B6" s="3" t="s">
        <v>36</v>
      </c>
      <c r="C6" s="3">
        <v>6329.0</v>
      </c>
      <c r="D6" s="6">
        <f t="shared" si="1"/>
        <v>865</v>
      </c>
      <c r="E6" s="3">
        <v>20.0</v>
      </c>
      <c r="F6" s="3">
        <v>7194.0</v>
      </c>
      <c r="G6" s="4">
        <v>1000.0</v>
      </c>
      <c r="I6" s="1" t="s">
        <v>40</v>
      </c>
    </row>
    <row r="7" ht="14.25" customHeight="1">
      <c r="A7" s="3" t="s">
        <v>6</v>
      </c>
      <c r="B7" s="3" t="s">
        <v>45</v>
      </c>
      <c r="C7" s="3">
        <v>3948.0</v>
      </c>
      <c r="D7" s="6">
        <f t="shared" si="1"/>
        <v>1098</v>
      </c>
      <c r="E7" s="3">
        <v>345.0</v>
      </c>
      <c r="F7" s="3">
        <v>5046.0</v>
      </c>
      <c r="G7" s="4">
        <v>1000.0</v>
      </c>
      <c r="I7" s="1" t="s">
        <v>39</v>
      </c>
    </row>
    <row r="8" ht="14.25" customHeight="1">
      <c r="A8" s="3" t="s">
        <v>7</v>
      </c>
      <c r="B8" s="3" t="s">
        <v>46</v>
      </c>
      <c r="C8" s="3">
        <v>5234.0</v>
      </c>
      <c r="D8" s="6">
        <f t="shared" si="1"/>
        <v>292</v>
      </c>
      <c r="E8" s="3">
        <v>950.0</v>
      </c>
      <c r="F8" s="3">
        <v>5526.0</v>
      </c>
      <c r="G8" s="4">
        <v>300.0</v>
      </c>
      <c r="I8" s="1" t="s">
        <v>40</v>
      </c>
    </row>
    <row r="9" ht="14.25" customHeight="1">
      <c r="A9" s="3" t="s">
        <v>8</v>
      </c>
      <c r="B9" s="3"/>
      <c r="C9" s="3">
        <v>5500.0</v>
      </c>
      <c r="D9" s="6">
        <f t="shared" si="1"/>
        <v>356</v>
      </c>
      <c r="E9" s="3">
        <v>0.0</v>
      </c>
      <c r="F9" s="3">
        <v>5856.0</v>
      </c>
      <c r="G9" s="4">
        <v>400.0</v>
      </c>
      <c r="I9" s="1" t="s">
        <v>7</v>
      </c>
    </row>
    <row r="10" ht="14.25" customHeight="1">
      <c r="A10" s="3" t="s">
        <v>6</v>
      </c>
      <c r="B10" s="3" t="s">
        <v>37</v>
      </c>
      <c r="C10" s="3">
        <v>3000.0</v>
      </c>
      <c r="D10" s="6">
        <f t="shared" si="1"/>
        <v>472</v>
      </c>
      <c r="E10" s="3">
        <v>692.0</v>
      </c>
      <c r="F10" s="3">
        <v>3472.0</v>
      </c>
      <c r="G10" s="4">
        <v>500.0</v>
      </c>
      <c r="I10" s="1" t="s">
        <v>41</v>
      </c>
    </row>
    <row r="11" ht="14.25" customHeight="1">
      <c r="A11" s="3" t="s">
        <v>1</v>
      </c>
      <c r="B11" s="3" t="s">
        <v>2</v>
      </c>
      <c r="C11" s="3">
        <v>3000.0</v>
      </c>
      <c r="D11" s="6">
        <f t="shared" si="1"/>
        <v>778</v>
      </c>
      <c r="E11" s="3">
        <v>519.0</v>
      </c>
      <c r="F11" s="3">
        <v>3778.0</v>
      </c>
      <c r="G11" s="4">
        <v>800.0</v>
      </c>
      <c r="I11" s="1" t="s">
        <v>42</v>
      </c>
    </row>
    <row r="12" ht="14.25" customHeight="1">
      <c r="A12" s="3"/>
      <c r="B12" s="3">
        <f>(D12/C12)</f>
        <v>0.1511244452</v>
      </c>
      <c r="C12" s="3">
        <f t="shared" ref="C12:G12" si="2">SUM(C3:C11)</f>
        <v>40331</v>
      </c>
      <c r="D12" s="6">
        <f t="shared" si="2"/>
        <v>6095</v>
      </c>
      <c r="E12" s="3">
        <f t="shared" si="2"/>
        <v>2834</v>
      </c>
      <c r="F12" s="3">
        <f t="shared" si="2"/>
        <v>46426</v>
      </c>
      <c r="G12" s="4">
        <f t="shared" si="2"/>
        <v>6000</v>
      </c>
    </row>
    <row r="13" ht="14.25" customHeight="1">
      <c r="E13" s="3"/>
      <c r="F13" s="3"/>
    </row>
    <row r="14" ht="14.25" customHeight="1">
      <c r="A14" s="3" t="s">
        <v>9</v>
      </c>
      <c r="B14" s="3" t="s">
        <v>47</v>
      </c>
      <c r="C14" s="3">
        <v>4000.0</v>
      </c>
      <c r="D14" s="6">
        <v>0.0</v>
      </c>
      <c r="E14" s="3">
        <f t="shared" ref="E14:E17" si="3">(C14-F14)</f>
        <v>-192</v>
      </c>
      <c r="F14" s="3">
        <v>4192.0</v>
      </c>
    </row>
    <row r="15" ht="14.25" customHeight="1">
      <c r="A15" s="3" t="s">
        <v>10</v>
      </c>
      <c r="B15" s="3" t="s">
        <v>48</v>
      </c>
      <c r="C15" s="3">
        <v>6000.0</v>
      </c>
      <c r="D15" s="6">
        <v>0.0</v>
      </c>
      <c r="E15" s="3">
        <f t="shared" si="3"/>
        <v>1978</v>
      </c>
      <c r="F15" s="3">
        <v>4022.0</v>
      </c>
    </row>
    <row r="16" ht="14.25" customHeight="1">
      <c r="A16" s="3" t="s">
        <v>11</v>
      </c>
      <c r="B16" s="3" t="s">
        <v>49</v>
      </c>
      <c r="C16" s="3">
        <v>8000.0</v>
      </c>
      <c r="D16" s="6">
        <v>0.0</v>
      </c>
      <c r="E16" s="3">
        <f t="shared" si="3"/>
        <v>1988</v>
      </c>
      <c r="F16" s="3">
        <v>6012.0</v>
      </c>
    </row>
    <row r="17" ht="14.25" customHeight="1">
      <c r="A17" s="3" t="s">
        <v>9</v>
      </c>
      <c r="B17" s="3" t="s">
        <v>50</v>
      </c>
      <c r="C17" s="3">
        <v>3000.0</v>
      </c>
      <c r="D17" s="6"/>
      <c r="E17" s="3">
        <f t="shared" si="3"/>
        <v>0</v>
      </c>
      <c r="F17" s="3">
        <v>3000.0</v>
      </c>
    </row>
    <row r="18" ht="14.25" customHeight="1">
      <c r="A18" s="3"/>
      <c r="B18" s="3"/>
      <c r="C18" s="3"/>
      <c r="D18" s="6"/>
      <c r="E18" s="3"/>
      <c r="F18" s="3"/>
    </row>
    <row r="19" ht="14.25" customHeight="1">
      <c r="A19" s="3"/>
      <c r="B19" s="3">
        <f>(D19/C19)</f>
        <v>0</v>
      </c>
      <c r="C19" s="3">
        <f>SUM(C14:C18)</f>
        <v>21000</v>
      </c>
      <c r="D19" s="6">
        <v>0.0</v>
      </c>
      <c r="E19" s="3">
        <f t="shared" ref="E19:F19" si="4">SUM(E14:E18)</f>
        <v>3774</v>
      </c>
      <c r="F19" s="3">
        <f t="shared" si="4"/>
        <v>17226</v>
      </c>
    </row>
    <row r="20" ht="14.25" customHeight="1">
      <c r="E20" s="3"/>
      <c r="F20" s="3"/>
    </row>
    <row r="21" ht="14.25" customHeight="1">
      <c r="A21" s="3" t="s">
        <v>12</v>
      </c>
      <c r="B21" s="3" t="s">
        <v>51</v>
      </c>
      <c r="C21" s="3">
        <v>9000.0</v>
      </c>
      <c r="D21" s="6">
        <f t="shared" ref="D21:D25" si="5">(F21-C21)</f>
        <v>643</v>
      </c>
      <c r="E21" s="3">
        <v>350.0</v>
      </c>
      <c r="F21" s="3">
        <v>9643.0</v>
      </c>
      <c r="G21" s="4">
        <v>643.0</v>
      </c>
      <c r="H21" s="1">
        <f t="shared" ref="H21:H22" si="6">(G21*0.2)</f>
        <v>128.6</v>
      </c>
    </row>
    <row r="22" ht="14.25" customHeight="1">
      <c r="A22" s="3" t="s">
        <v>12</v>
      </c>
      <c r="B22" s="3" t="s">
        <v>52</v>
      </c>
      <c r="C22" s="3">
        <v>10000.0</v>
      </c>
      <c r="D22" s="6">
        <f t="shared" si="5"/>
        <v>239</v>
      </c>
      <c r="E22" s="3">
        <v>14.0</v>
      </c>
      <c r="F22" s="3">
        <v>10239.0</v>
      </c>
      <c r="G22" s="4">
        <v>239.0</v>
      </c>
      <c r="H22" s="1">
        <f t="shared" si="6"/>
        <v>47.8</v>
      </c>
    </row>
    <row r="23" ht="14.25" customHeight="1">
      <c r="A23" s="3" t="s">
        <v>12</v>
      </c>
      <c r="B23" s="3" t="s">
        <v>53</v>
      </c>
      <c r="C23" s="3">
        <v>7000.0</v>
      </c>
      <c r="D23" s="6">
        <f t="shared" si="5"/>
        <v>0</v>
      </c>
      <c r="E23" s="3">
        <v>0.0</v>
      </c>
      <c r="F23" s="3">
        <v>7000.0</v>
      </c>
    </row>
    <row r="24" ht="14.25" customHeight="1">
      <c r="A24" s="3" t="s">
        <v>54</v>
      </c>
      <c r="B24" s="3" t="s">
        <v>55</v>
      </c>
      <c r="C24" s="3">
        <v>7000.0</v>
      </c>
      <c r="D24" s="6">
        <f t="shared" si="5"/>
        <v>227</v>
      </c>
      <c r="E24" s="3">
        <v>1134.0</v>
      </c>
      <c r="F24" s="3">
        <v>7227.0</v>
      </c>
      <c r="G24" s="4">
        <v>227.0</v>
      </c>
      <c r="H24" s="1">
        <f t="shared" ref="H24:H25" si="7">(G24*0.2)</f>
        <v>45.4</v>
      </c>
    </row>
    <row r="25" ht="14.25" customHeight="1">
      <c r="A25" s="3" t="s">
        <v>12</v>
      </c>
      <c r="B25" s="3" t="s">
        <v>56</v>
      </c>
      <c r="C25" s="3">
        <v>7000.0</v>
      </c>
      <c r="D25" s="6">
        <f t="shared" si="5"/>
        <v>172</v>
      </c>
      <c r="E25" s="3">
        <v>0.0</v>
      </c>
      <c r="F25" s="3">
        <v>7172.0</v>
      </c>
      <c r="G25" s="8">
        <v>172.0</v>
      </c>
      <c r="H25" s="1">
        <f t="shared" si="7"/>
        <v>34.4</v>
      </c>
    </row>
    <row r="26" ht="14.25" customHeight="1">
      <c r="A26" s="3"/>
      <c r="B26" s="3"/>
      <c r="C26" s="3"/>
      <c r="D26" s="6">
        <v>0.0</v>
      </c>
      <c r="E26" s="3"/>
      <c r="F26" s="3"/>
    </row>
    <row r="27" ht="14.25" customHeight="1">
      <c r="A27" s="3"/>
      <c r="B27" s="3">
        <f>(D27/C27)</f>
        <v>0.032025</v>
      </c>
      <c r="C27" s="3">
        <f t="shared" ref="C27:D27" si="8">SUM(C21:C26)</f>
        <v>40000</v>
      </c>
      <c r="D27" s="6">
        <f t="shared" si="8"/>
        <v>1281</v>
      </c>
      <c r="E27" s="3">
        <f t="shared" ref="E27:F27" si="9">SUM(E21:E25)</f>
        <v>1498</v>
      </c>
      <c r="F27" s="3">
        <f t="shared" si="9"/>
        <v>41281</v>
      </c>
    </row>
    <row r="28" ht="14.25" customHeight="1">
      <c r="E28" s="3"/>
      <c r="F28" s="3"/>
    </row>
    <row r="29" ht="14.25" customHeight="1">
      <c r="A29" s="3" t="s">
        <v>13</v>
      </c>
      <c r="B29" s="3" t="s">
        <v>4</v>
      </c>
      <c r="C29" s="3">
        <v>9750.0</v>
      </c>
      <c r="D29" s="6">
        <f t="shared" ref="D29:D30" si="10">(F29-C29)</f>
        <v>-141</v>
      </c>
      <c r="E29" s="3">
        <v>333.0</v>
      </c>
      <c r="F29" s="3">
        <v>9609.0</v>
      </c>
      <c r="G29" s="4">
        <v>0.0</v>
      </c>
    </row>
    <row r="30" ht="14.25" customHeight="1">
      <c r="A30" s="3" t="s">
        <v>13</v>
      </c>
      <c r="B30" s="3" t="s">
        <v>5</v>
      </c>
      <c r="C30" s="3">
        <v>10250.0</v>
      </c>
      <c r="D30" s="6">
        <f t="shared" si="10"/>
        <v>-833</v>
      </c>
      <c r="E30" s="3">
        <v>16.0</v>
      </c>
      <c r="F30" s="3">
        <v>9417.0</v>
      </c>
    </row>
    <row r="31" ht="14.25" customHeight="1">
      <c r="A31" s="3"/>
      <c r="B31" s="3"/>
      <c r="C31" s="3"/>
      <c r="D31" s="3"/>
      <c r="E31" s="3"/>
      <c r="F31" s="3"/>
    </row>
    <row r="32" ht="14.25" customHeight="1">
      <c r="A32" s="3"/>
      <c r="B32" s="3">
        <f>(D32/C32)</f>
        <v>-0.0487</v>
      </c>
      <c r="C32" s="3">
        <f>SUM(C29:C31)</f>
        <v>20000</v>
      </c>
      <c r="D32" s="3">
        <f>(D30+D29)</f>
        <v>-974</v>
      </c>
      <c r="E32" s="3">
        <f t="shared" ref="E32:F32" si="11">SUM(E29:E31)</f>
        <v>349</v>
      </c>
      <c r="F32" s="3">
        <f t="shared" si="11"/>
        <v>19026</v>
      </c>
    </row>
    <row r="33" ht="14.25" customHeight="1">
      <c r="A33" s="3"/>
      <c r="B33" s="3"/>
      <c r="C33" s="3"/>
      <c r="D33" s="3"/>
      <c r="E33" s="3"/>
      <c r="F33" s="3"/>
    </row>
    <row r="34" ht="14.25" customHeight="1">
      <c r="A34" s="3"/>
      <c r="B34" s="3"/>
      <c r="C34" s="3"/>
      <c r="D34" s="3"/>
      <c r="E34" s="3"/>
      <c r="F34" s="3"/>
    </row>
    <row r="35" ht="14.25" customHeight="1">
      <c r="A35" s="3" t="s">
        <v>14</v>
      </c>
      <c r="B35" s="3" t="s">
        <v>4</v>
      </c>
      <c r="C35" s="3">
        <v>5000.0</v>
      </c>
      <c r="D35" s="3">
        <f>(F35-C35)</f>
        <v>132</v>
      </c>
      <c r="E35" s="3">
        <v>0.0</v>
      </c>
      <c r="F35" s="3">
        <v>5132.0</v>
      </c>
      <c r="G35" s="7">
        <v>132.0</v>
      </c>
      <c r="H35" s="7">
        <f>(G35*0.2)</f>
        <v>26.4</v>
      </c>
    </row>
    <row r="36" ht="14.25" customHeight="1">
      <c r="A36" s="3"/>
      <c r="B36" s="3">
        <f>(D35/C35)</f>
        <v>0.0264</v>
      </c>
      <c r="C36" s="3"/>
      <c r="D36" s="3"/>
      <c r="E36" s="3"/>
      <c r="F36" s="3"/>
    </row>
    <row r="37" ht="14.25" customHeight="1">
      <c r="E37" s="3"/>
      <c r="F37" s="3"/>
    </row>
    <row r="38" ht="14.25" customHeight="1">
      <c r="A38" s="3" t="s">
        <v>15</v>
      </c>
      <c r="B38" s="3" t="s">
        <v>5</v>
      </c>
      <c r="C38" s="3">
        <v>5000.0</v>
      </c>
      <c r="D38" s="3">
        <f>(F38-C38)</f>
        <v>417</v>
      </c>
      <c r="E38" s="3">
        <v>4.0</v>
      </c>
      <c r="F38" s="3">
        <v>5417.0</v>
      </c>
      <c r="G38" s="7">
        <v>400.0</v>
      </c>
      <c r="H38" s="7">
        <f>(G38*0.2)</f>
        <v>80</v>
      </c>
    </row>
    <row r="39" ht="14.25" customHeight="1">
      <c r="A39" s="3"/>
      <c r="B39" s="3">
        <f>(D38/C38)</f>
        <v>0.0834</v>
      </c>
      <c r="C39" s="3"/>
      <c r="D39" s="6"/>
      <c r="E39" s="3"/>
      <c r="F39" s="3"/>
    </row>
    <row r="40" ht="14.25" customHeight="1"/>
    <row r="41" ht="14.25" customHeight="1"/>
    <row r="42" ht="14.25" customHeight="1">
      <c r="B42" s="1">
        <f>(D42/C42)</f>
        <v>0.05292733627</v>
      </c>
      <c r="C42" s="1">
        <f t="shared" ref="C42:E42" si="12">(C38+C35+C32+C27+C19+C12)</f>
        <v>131331</v>
      </c>
      <c r="D42" s="1">
        <f t="shared" si="12"/>
        <v>6951</v>
      </c>
      <c r="E42" s="1">
        <f t="shared" si="12"/>
        <v>8459</v>
      </c>
    </row>
    <row r="43" ht="14.25" customHeight="1"/>
    <row r="44" ht="14.25" customHeight="1">
      <c r="G44" s="1" t="s">
        <v>18</v>
      </c>
      <c r="H44" s="9">
        <v>6000.0</v>
      </c>
    </row>
    <row r="45" ht="14.25" customHeight="1">
      <c r="G45" s="1" t="s">
        <v>57</v>
      </c>
      <c r="H45" s="1">
        <v>362.0</v>
      </c>
    </row>
    <row r="46" ht="14.25" customHeight="1">
      <c r="F46" s="1" t="s">
        <v>27</v>
      </c>
      <c r="G46" s="1" t="s">
        <v>19</v>
      </c>
      <c r="H46" s="1">
        <v>180.0</v>
      </c>
    </row>
    <row r="47" ht="14.25" customHeight="1">
      <c r="F47" s="1" t="s">
        <v>39</v>
      </c>
      <c r="G47" s="1" t="s">
        <v>19</v>
      </c>
      <c r="H47" s="1">
        <v>41.0</v>
      </c>
    </row>
    <row r="48" ht="14.25" customHeight="1">
      <c r="G48" s="1" t="s">
        <v>20</v>
      </c>
      <c r="H48" s="1">
        <v>0.0</v>
      </c>
    </row>
    <row r="49" ht="14.25" customHeight="1">
      <c r="G49" s="1" t="s">
        <v>21</v>
      </c>
      <c r="H49" s="1">
        <v>0.0</v>
      </c>
    </row>
    <row r="50" ht="14.25" customHeight="1">
      <c r="G50" s="1" t="s">
        <v>58</v>
      </c>
    </row>
    <row r="51" ht="14.25" customHeight="1">
      <c r="G51" s="5" t="s">
        <v>18</v>
      </c>
      <c r="H51" s="5">
        <f>SUM(H44:H49)</f>
        <v>6583</v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12.29"/>
    <col customWidth="1" min="3" max="4" width="8.71"/>
    <col customWidth="1" min="5" max="5" width="10.43"/>
    <col customWidth="1" min="6" max="6" width="8.71"/>
    <col customWidth="1" min="7" max="7" width="14.86"/>
    <col customWidth="1" min="8" max="8" width="8.71"/>
    <col customWidth="1" min="9" max="9" width="11.0"/>
    <col customWidth="1" min="10" max="13" width="8.71"/>
    <col customWidth="1" min="14" max="14" width="11.0"/>
    <col customWidth="1" min="15" max="26" width="8.71"/>
  </cols>
  <sheetData>
    <row r="1" ht="14.25" customHeight="1">
      <c r="A1" s="10">
        <v>45870.0</v>
      </c>
    </row>
    <row r="2" ht="14.25" customHeight="1">
      <c r="C2" s="5" t="s">
        <v>28</v>
      </c>
      <c r="D2" s="5" t="s">
        <v>29</v>
      </c>
      <c r="E2" s="5" t="s">
        <v>30</v>
      </c>
      <c r="F2" s="5" t="s">
        <v>31</v>
      </c>
    </row>
    <row r="3" ht="14.25" customHeight="1">
      <c r="A3" s="3" t="s">
        <v>3</v>
      </c>
      <c r="B3" s="3" t="s">
        <v>44</v>
      </c>
      <c r="C3" s="3">
        <v>6000.0</v>
      </c>
      <c r="D3" s="6">
        <f t="shared" ref="D3:D11" si="1">(F3-C3)</f>
        <v>926</v>
      </c>
      <c r="E3" s="3">
        <v>271.0</v>
      </c>
      <c r="F3" s="3">
        <v>6926.0</v>
      </c>
      <c r="G3" s="4">
        <v>900.0</v>
      </c>
      <c r="H3" s="1" t="s">
        <v>39</v>
      </c>
      <c r="L3" s="4">
        <v>589.0</v>
      </c>
      <c r="M3" s="1">
        <v>-16600.0</v>
      </c>
      <c r="N3" s="1" t="s">
        <v>59</v>
      </c>
    </row>
    <row r="4" ht="14.25" customHeight="1">
      <c r="A4" s="3" t="s">
        <v>1</v>
      </c>
      <c r="B4" s="3" t="s">
        <v>33</v>
      </c>
      <c r="C4" s="3">
        <v>3346.0</v>
      </c>
      <c r="D4" s="6">
        <f t="shared" si="1"/>
        <v>346</v>
      </c>
      <c r="E4" s="3">
        <v>350.0</v>
      </c>
      <c r="F4" s="3">
        <v>3692.0</v>
      </c>
      <c r="G4" s="4">
        <v>350.0</v>
      </c>
      <c r="H4" s="1" t="s">
        <v>7</v>
      </c>
      <c r="L4" s="4">
        <v>539.2</v>
      </c>
      <c r="M4" s="1">
        <v>-17705.0</v>
      </c>
      <c r="N4" s="1" t="s">
        <v>60</v>
      </c>
      <c r="O4" s="5">
        <v>86538.0</v>
      </c>
      <c r="P4" s="1" t="s">
        <v>61</v>
      </c>
    </row>
    <row r="5" ht="14.25" customHeight="1">
      <c r="A5" s="3" t="s">
        <v>6</v>
      </c>
      <c r="B5" s="3" t="s">
        <v>35</v>
      </c>
      <c r="C5" s="3">
        <v>3974.0</v>
      </c>
      <c r="D5" s="6">
        <f t="shared" si="1"/>
        <v>334</v>
      </c>
      <c r="E5" s="3">
        <v>300.0</v>
      </c>
      <c r="F5" s="3">
        <v>4308.0</v>
      </c>
      <c r="G5" s="4">
        <v>330.0</v>
      </c>
      <c r="H5" s="1" t="s">
        <v>7</v>
      </c>
      <c r="L5" s="4">
        <v>261.0</v>
      </c>
      <c r="P5" s="1" t="s">
        <v>62</v>
      </c>
    </row>
    <row r="6" ht="14.25" customHeight="1">
      <c r="A6" s="3" t="s">
        <v>6</v>
      </c>
      <c r="B6" s="3" t="s">
        <v>36</v>
      </c>
      <c r="C6" s="3">
        <v>6329.0</v>
      </c>
      <c r="D6" s="6">
        <f t="shared" si="1"/>
        <v>530</v>
      </c>
      <c r="E6" s="3">
        <v>592.0</v>
      </c>
      <c r="F6" s="3">
        <v>6859.0</v>
      </c>
      <c r="G6" s="4">
        <v>530.0</v>
      </c>
      <c r="H6" s="1" t="s">
        <v>40</v>
      </c>
      <c r="L6" s="4"/>
    </row>
    <row r="7" ht="14.25" customHeight="1">
      <c r="A7" s="3" t="s">
        <v>6</v>
      </c>
      <c r="B7" s="3" t="s">
        <v>45</v>
      </c>
      <c r="C7" s="3">
        <v>3948.0</v>
      </c>
      <c r="D7" s="6">
        <f t="shared" si="1"/>
        <v>792</v>
      </c>
      <c r="E7" s="3">
        <v>461.0</v>
      </c>
      <c r="F7" s="3">
        <v>4740.0</v>
      </c>
      <c r="G7" s="4">
        <v>800.0</v>
      </c>
      <c r="H7" s="1" t="s">
        <v>39</v>
      </c>
      <c r="L7" s="4"/>
    </row>
    <row r="8" ht="14.25" customHeight="1">
      <c r="A8" s="3" t="s">
        <v>7</v>
      </c>
      <c r="B8" s="3" t="s">
        <v>46</v>
      </c>
      <c r="C8" s="3">
        <v>5234.0</v>
      </c>
      <c r="D8" s="6">
        <f t="shared" si="1"/>
        <v>413</v>
      </c>
      <c r="E8" s="3">
        <v>1811.0</v>
      </c>
      <c r="F8" s="3">
        <v>5647.0</v>
      </c>
      <c r="G8" s="4">
        <v>400.0</v>
      </c>
      <c r="H8" s="1" t="s">
        <v>40</v>
      </c>
      <c r="L8" s="4"/>
    </row>
    <row r="9" ht="14.25" customHeight="1">
      <c r="A9" s="3" t="s">
        <v>8</v>
      </c>
      <c r="B9" s="3"/>
      <c r="C9" s="3">
        <v>5500.0</v>
      </c>
      <c r="D9" s="6">
        <f t="shared" si="1"/>
        <v>-6</v>
      </c>
      <c r="E9" s="3">
        <v>0.0</v>
      </c>
      <c r="F9" s="3">
        <v>5494.0</v>
      </c>
      <c r="G9" s="4">
        <v>0.0</v>
      </c>
      <c r="H9" s="1" t="s">
        <v>7</v>
      </c>
      <c r="L9" s="4"/>
    </row>
    <row r="10" ht="14.25" customHeight="1">
      <c r="A10" s="3" t="s">
        <v>6</v>
      </c>
      <c r="B10" s="3" t="s">
        <v>37</v>
      </c>
      <c r="C10" s="3">
        <v>3000.0</v>
      </c>
      <c r="D10" s="6">
        <f t="shared" si="1"/>
        <v>292</v>
      </c>
      <c r="E10" s="3">
        <v>700.0</v>
      </c>
      <c r="F10" s="3">
        <v>3292.0</v>
      </c>
      <c r="G10" s="4">
        <v>300.0</v>
      </c>
      <c r="H10" s="1" t="s">
        <v>41</v>
      </c>
      <c r="L10" s="4"/>
    </row>
    <row r="11" ht="14.25" customHeight="1">
      <c r="A11" s="3" t="s">
        <v>1</v>
      </c>
      <c r="B11" s="3" t="s">
        <v>2</v>
      </c>
      <c r="C11" s="3">
        <v>3000.0</v>
      </c>
      <c r="D11" s="6">
        <f t="shared" si="1"/>
        <v>179</v>
      </c>
      <c r="E11" s="3">
        <v>200.0</v>
      </c>
      <c r="F11" s="3">
        <v>3179.0</v>
      </c>
      <c r="G11" s="4">
        <v>180.0</v>
      </c>
      <c r="H11" s="1" t="s">
        <v>42</v>
      </c>
      <c r="L11" s="4"/>
    </row>
    <row r="12" ht="14.25" customHeight="1">
      <c r="A12" s="3"/>
      <c r="B12" s="3">
        <f>(D12/C12)</f>
        <v>0.09436909573</v>
      </c>
      <c r="C12" s="3">
        <f t="shared" ref="C12:G12" si="2">SUM(C3:C11)</f>
        <v>40331</v>
      </c>
      <c r="D12" s="6">
        <f t="shared" si="2"/>
        <v>3806</v>
      </c>
      <c r="E12" s="3">
        <f t="shared" si="2"/>
        <v>4685</v>
      </c>
      <c r="F12" s="3">
        <f t="shared" si="2"/>
        <v>44137</v>
      </c>
      <c r="G12" s="4">
        <f t="shared" si="2"/>
        <v>3790</v>
      </c>
      <c r="L12" s="4"/>
    </row>
    <row r="13" ht="14.25" customHeight="1">
      <c r="E13" s="3"/>
      <c r="F13" s="3"/>
    </row>
    <row r="14" ht="14.25" customHeight="1">
      <c r="A14" s="3" t="s">
        <v>9</v>
      </c>
      <c r="B14" s="3" t="s">
        <v>47</v>
      </c>
      <c r="C14" s="3">
        <v>2000.0</v>
      </c>
      <c r="D14" s="6">
        <f t="shared" ref="D14:D19" si="3">(F14-C14)</f>
        <v>250</v>
      </c>
      <c r="E14" s="3">
        <v>490.0</v>
      </c>
      <c r="F14" s="3">
        <v>2250.0</v>
      </c>
    </row>
    <row r="15" ht="14.25" customHeight="1">
      <c r="A15" s="3" t="s">
        <v>10</v>
      </c>
      <c r="B15" s="3" t="s">
        <v>48</v>
      </c>
      <c r="C15" s="3">
        <v>3000.0</v>
      </c>
      <c r="D15" s="6">
        <f t="shared" si="3"/>
        <v>-919</v>
      </c>
      <c r="E15" s="3">
        <v>480.0</v>
      </c>
      <c r="F15" s="3">
        <v>2081.0</v>
      </c>
      <c r="L15" s="1">
        <v>217.86</v>
      </c>
    </row>
    <row r="16" ht="14.25" customHeight="1">
      <c r="A16" s="3" t="s">
        <v>11</v>
      </c>
      <c r="B16" s="3" t="s">
        <v>49</v>
      </c>
      <c r="C16" s="3">
        <v>9000.0</v>
      </c>
      <c r="D16" s="6">
        <f t="shared" si="3"/>
        <v>-2543</v>
      </c>
      <c r="E16" s="3">
        <v>1436.0</v>
      </c>
      <c r="F16" s="3">
        <v>6457.0</v>
      </c>
      <c r="L16" s="1">
        <v>1075.18</v>
      </c>
      <c r="N16" s="1" t="s">
        <v>63</v>
      </c>
    </row>
    <row r="17" ht="14.25" customHeight="1">
      <c r="A17" s="3" t="s">
        <v>9</v>
      </c>
      <c r="B17" s="3" t="s">
        <v>50</v>
      </c>
      <c r="C17" s="3">
        <v>3000.0</v>
      </c>
      <c r="D17" s="6">
        <f t="shared" si="3"/>
        <v>0</v>
      </c>
      <c r="E17" s="3">
        <f>(C17-F17)</f>
        <v>0</v>
      </c>
      <c r="F17" s="3">
        <v>3000.0</v>
      </c>
      <c r="L17" s="1">
        <v>183.73</v>
      </c>
    </row>
    <row r="18" ht="14.25" customHeight="1">
      <c r="A18" s="3" t="s">
        <v>10</v>
      </c>
      <c r="B18" s="3" t="s">
        <v>64</v>
      </c>
      <c r="C18" s="3">
        <v>2000.0</v>
      </c>
      <c r="D18" s="6">
        <f t="shared" si="3"/>
        <v>173</v>
      </c>
      <c r="E18" s="3">
        <v>85.0</v>
      </c>
      <c r="F18" s="3">
        <v>2173.0</v>
      </c>
    </row>
    <row r="19" ht="14.25" customHeight="1">
      <c r="A19" s="3" t="s">
        <v>11</v>
      </c>
      <c r="B19" s="3" t="s">
        <v>65</v>
      </c>
      <c r="C19" s="3">
        <v>2000.0</v>
      </c>
      <c r="D19" s="6">
        <f t="shared" si="3"/>
        <v>250</v>
      </c>
      <c r="E19" s="3">
        <v>67.0</v>
      </c>
      <c r="F19" s="3">
        <v>2250.0</v>
      </c>
    </row>
    <row r="20" ht="14.25" customHeight="1">
      <c r="A20" s="3"/>
      <c r="B20" s="3">
        <f>(D20/C20)</f>
        <v>-0.1328095238</v>
      </c>
      <c r="C20" s="3">
        <f t="shared" ref="C20:F20" si="4">SUM(C14:C19)</f>
        <v>21000</v>
      </c>
      <c r="D20" s="6">
        <f t="shared" si="4"/>
        <v>-2789</v>
      </c>
      <c r="E20" s="3">
        <f t="shared" si="4"/>
        <v>2558</v>
      </c>
      <c r="F20" s="3">
        <f t="shared" si="4"/>
        <v>18211</v>
      </c>
    </row>
    <row r="21" ht="14.25" customHeight="1">
      <c r="E21" s="3"/>
      <c r="F21" s="3"/>
    </row>
    <row r="22" ht="14.25" customHeight="1">
      <c r="A22" s="3" t="s">
        <v>12</v>
      </c>
      <c r="B22" s="3" t="s">
        <v>51</v>
      </c>
      <c r="C22" s="3">
        <v>9000.0</v>
      </c>
      <c r="D22" s="6">
        <f t="shared" ref="D22:D26" si="5">(F22-C22)</f>
        <v>694</v>
      </c>
      <c r="E22" s="3">
        <v>344.0</v>
      </c>
      <c r="F22" s="3">
        <v>9694.0</v>
      </c>
      <c r="G22" s="4">
        <v>700.0</v>
      </c>
    </row>
    <row r="23" ht="14.25" customHeight="1">
      <c r="A23" s="3" t="s">
        <v>12</v>
      </c>
      <c r="B23" s="3" t="s">
        <v>52</v>
      </c>
      <c r="C23" s="3">
        <v>8000.0</v>
      </c>
      <c r="D23" s="6">
        <f t="shared" si="5"/>
        <v>658</v>
      </c>
      <c r="E23" s="3">
        <v>600.0</v>
      </c>
      <c r="F23" s="3">
        <v>8658.0</v>
      </c>
      <c r="G23" s="4">
        <v>654.0</v>
      </c>
      <c r="L23" s="1">
        <v>402.26</v>
      </c>
    </row>
    <row r="24" ht="14.25" customHeight="1">
      <c r="A24" s="3" t="s">
        <v>12</v>
      </c>
      <c r="B24" s="3" t="s">
        <v>53</v>
      </c>
      <c r="C24" s="3">
        <v>9000.0</v>
      </c>
      <c r="D24" s="6">
        <f t="shared" si="5"/>
        <v>420</v>
      </c>
      <c r="E24" s="3">
        <v>300.0</v>
      </c>
      <c r="F24" s="3">
        <v>9420.0</v>
      </c>
      <c r="G24" s="4">
        <v>420.0</v>
      </c>
      <c r="L24" s="1">
        <v>186.0</v>
      </c>
    </row>
    <row r="25" ht="14.25" customHeight="1">
      <c r="A25" s="3" t="s">
        <v>54</v>
      </c>
      <c r="B25" s="3" t="s">
        <v>55</v>
      </c>
      <c r="C25" s="3">
        <v>7000.0</v>
      </c>
      <c r="D25" s="6">
        <f t="shared" si="5"/>
        <v>321</v>
      </c>
      <c r="E25" s="3">
        <v>142.0</v>
      </c>
      <c r="F25" s="3">
        <v>7321.0</v>
      </c>
      <c r="G25" s="4">
        <v>320.0</v>
      </c>
      <c r="L25" s="1">
        <v>378.94</v>
      </c>
    </row>
    <row r="26" ht="14.25" customHeight="1">
      <c r="A26" s="3" t="s">
        <v>12</v>
      </c>
      <c r="B26" s="3" t="s">
        <v>56</v>
      </c>
      <c r="C26" s="3">
        <v>7000.0</v>
      </c>
      <c r="D26" s="6">
        <f t="shared" si="5"/>
        <v>451</v>
      </c>
      <c r="E26" s="3">
        <v>250.0</v>
      </c>
      <c r="F26" s="3">
        <v>7451.0</v>
      </c>
      <c r="G26" s="8">
        <v>450.0</v>
      </c>
    </row>
    <row r="27" ht="14.25" customHeight="1">
      <c r="A27" s="3"/>
      <c r="B27" s="3"/>
      <c r="C27" s="3"/>
      <c r="D27" s="6">
        <v>0.0</v>
      </c>
      <c r="E27" s="3"/>
      <c r="F27" s="3"/>
    </row>
    <row r="28" ht="14.25" customHeight="1">
      <c r="A28" s="3"/>
      <c r="B28" s="3">
        <f>(D28/C28)</f>
        <v>0.0636</v>
      </c>
      <c r="C28" s="3">
        <f t="shared" ref="C28:D28" si="6">SUM(C22:C27)</f>
        <v>40000</v>
      </c>
      <c r="D28" s="6">
        <f t="shared" si="6"/>
        <v>2544</v>
      </c>
      <c r="E28" s="3">
        <f t="shared" ref="E28:F28" si="7">SUM(E22:E26)</f>
        <v>1636</v>
      </c>
      <c r="F28" s="3">
        <f t="shared" si="7"/>
        <v>42544</v>
      </c>
      <c r="G28" s="1">
        <v>2544.0</v>
      </c>
      <c r="H28" s="1">
        <f>(G28*0.2)</f>
        <v>508.8</v>
      </c>
      <c r="J28" s="1">
        <v>2544.0</v>
      </c>
    </row>
    <row r="29" ht="14.25" customHeight="1">
      <c r="E29" s="3"/>
      <c r="F29" s="3"/>
    </row>
    <row r="30" ht="14.25" customHeight="1">
      <c r="A30" s="3" t="s">
        <v>13</v>
      </c>
      <c r="B30" s="3" t="s">
        <v>4</v>
      </c>
      <c r="C30" s="3">
        <v>9750.0</v>
      </c>
      <c r="D30" s="6">
        <f t="shared" ref="D30:D31" si="8">(F30-C30)</f>
        <v>561</v>
      </c>
      <c r="E30" s="3">
        <v>360.0</v>
      </c>
      <c r="F30" s="3">
        <v>10311.0</v>
      </c>
      <c r="G30" s="4">
        <v>0.0</v>
      </c>
    </row>
    <row r="31" ht="14.25" customHeight="1">
      <c r="A31" s="3" t="s">
        <v>13</v>
      </c>
      <c r="B31" s="3" t="s">
        <v>5</v>
      </c>
      <c r="C31" s="3">
        <v>10250.0</v>
      </c>
      <c r="D31" s="6">
        <f t="shared" si="8"/>
        <v>-160</v>
      </c>
      <c r="E31" s="3">
        <v>590.0</v>
      </c>
      <c r="F31" s="3">
        <v>10090.0</v>
      </c>
    </row>
    <row r="32" ht="14.25" customHeight="1">
      <c r="A32" s="3"/>
      <c r="B32" s="3"/>
      <c r="C32" s="3"/>
      <c r="D32" s="3"/>
      <c r="E32" s="3"/>
      <c r="F32" s="3"/>
    </row>
    <row r="33" ht="14.25" customHeight="1">
      <c r="A33" s="3"/>
      <c r="B33" s="3">
        <f>(D33/C33)</f>
        <v>0.02005</v>
      </c>
      <c r="C33" s="3">
        <f>SUM(C30:C32)</f>
        <v>20000</v>
      </c>
      <c r="D33" s="3">
        <f>(D31+D30)</f>
        <v>401</v>
      </c>
      <c r="E33" s="3">
        <f t="shared" ref="E33:F33" si="9">SUM(E30:E32)</f>
        <v>950</v>
      </c>
      <c r="F33" s="3">
        <f t="shared" si="9"/>
        <v>20401</v>
      </c>
      <c r="G33" s="1">
        <v>400.0</v>
      </c>
      <c r="H33" s="7">
        <f>(G33*0.2)</f>
        <v>80</v>
      </c>
    </row>
    <row r="34" ht="14.25" customHeight="1">
      <c r="A34" s="3"/>
      <c r="B34" s="3"/>
      <c r="C34" s="3"/>
      <c r="D34" s="3"/>
      <c r="E34" s="3"/>
      <c r="F34" s="3"/>
    </row>
    <row r="35" ht="14.25" customHeight="1">
      <c r="A35" s="3"/>
      <c r="B35" s="3"/>
      <c r="C35" s="3"/>
      <c r="D35" s="3"/>
      <c r="E35" s="3"/>
      <c r="F35" s="3"/>
    </row>
    <row r="36" ht="14.25" customHeight="1">
      <c r="A36" s="3" t="s">
        <v>14</v>
      </c>
      <c r="B36" s="3" t="s">
        <v>4</v>
      </c>
      <c r="C36" s="3">
        <v>5000.0</v>
      </c>
      <c r="D36" s="3">
        <f>(F36-C36)</f>
        <v>350</v>
      </c>
      <c r="E36" s="3">
        <v>0.0</v>
      </c>
      <c r="F36" s="3">
        <v>5350.0</v>
      </c>
      <c r="G36" s="7">
        <v>350.0</v>
      </c>
      <c r="H36" s="7">
        <f>(G36*0.2)</f>
        <v>70</v>
      </c>
    </row>
    <row r="37" ht="14.25" customHeight="1">
      <c r="A37" s="3"/>
      <c r="B37" s="3">
        <f>(D36/C36)</f>
        <v>0.07</v>
      </c>
      <c r="C37" s="3"/>
      <c r="D37" s="3"/>
      <c r="E37" s="3"/>
      <c r="F37" s="3"/>
    </row>
    <row r="38" ht="14.25" customHeight="1">
      <c r="E38" s="3"/>
      <c r="F38" s="3"/>
    </row>
    <row r="39" ht="14.25" customHeight="1">
      <c r="A39" s="3" t="s">
        <v>15</v>
      </c>
      <c r="B39" s="3" t="s">
        <v>5</v>
      </c>
      <c r="C39" s="3">
        <v>5000.0</v>
      </c>
      <c r="D39" s="3">
        <f>(F39-C39)</f>
        <v>350</v>
      </c>
      <c r="E39" s="3">
        <v>4.0</v>
      </c>
      <c r="F39" s="3">
        <v>5350.0</v>
      </c>
      <c r="G39" s="7">
        <v>350.0</v>
      </c>
      <c r="H39" s="7">
        <f>(G39*0.2)</f>
        <v>70</v>
      </c>
    </row>
    <row r="40" ht="14.25" customHeight="1">
      <c r="A40" s="3"/>
      <c r="B40" s="3">
        <f>(D39/C39)</f>
        <v>0.07</v>
      </c>
      <c r="C40" s="3"/>
      <c r="D40" s="6"/>
      <c r="E40" s="3"/>
      <c r="F40" s="3"/>
    </row>
    <row r="41" ht="14.25" customHeight="1"/>
    <row r="42" ht="14.25" customHeight="1"/>
    <row r="43" ht="14.25" customHeight="1">
      <c r="B43" s="1">
        <f>(D43/C43)</f>
        <v>0.03549809261</v>
      </c>
      <c r="C43" s="1">
        <f t="shared" ref="C43:E43" si="10">(C39+C36+C33+C28+C20+C12)</f>
        <v>131331</v>
      </c>
      <c r="D43" s="1">
        <f t="shared" si="10"/>
        <v>4662</v>
      </c>
      <c r="E43" s="1">
        <f t="shared" si="10"/>
        <v>9833</v>
      </c>
    </row>
    <row r="44" ht="14.25" customHeight="1"/>
    <row r="45" ht="14.25" customHeight="1">
      <c r="G45" s="1" t="s">
        <v>66</v>
      </c>
      <c r="H45" s="1">
        <v>3790.0</v>
      </c>
    </row>
    <row r="46" ht="14.25" customHeight="1">
      <c r="G46" s="1" t="s">
        <v>67</v>
      </c>
      <c r="H46" s="1">
        <v>728.8</v>
      </c>
    </row>
    <row r="47" ht="14.25" customHeight="1">
      <c r="F47" s="1" t="s">
        <v>27</v>
      </c>
      <c r="G47" s="1" t="s">
        <v>19</v>
      </c>
      <c r="H47" s="1">
        <v>140.0</v>
      </c>
    </row>
    <row r="48" ht="14.25" customHeight="1">
      <c r="F48" s="1" t="s">
        <v>39</v>
      </c>
      <c r="G48" s="1" t="s">
        <v>19</v>
      </c>
      <c r="H48" s="1">
        <v>25.0</v>
      </c>
    </row>
    <row r="49" ht="14.25" customHeight="1">
      <c r="G49" s="1" t="s">
        <v>20</v>
      </c>
      <c r="H49" s="1">
        <v>0.0</v>
      </c>
    </row>
    <row r="50" ht="14.25" customHeight="1">
      <c r="G50" s="1" t="s">
        <v>21</v>
      </c>
      <c r="H50" s="1">
        <v>497.0</v>
      </c>
      <c r="I50" s="1" t="s">
        <v>43</v>
      </c>
    </row>
    <row r="51" ht="14.25" customHeight="1">
      <c r="G51" s="1" t="s">
        <v>58</v>
      </c>
    </row>
    <row r="52" ht="14.25" customHeight="1">
      <c r="G52" s="1" t="s">
        <v>68</v>
      </c>
      <c r="H52" s="1">
        <v>996.0</v>
      </c>
    </row>
    <row r="53" ht="14.25" customHeight="1">
      <c r="G53" s="5" t="s">
        <v>18</v>
      </c>
      <c r="H53" s="5">
        <f>SUM(H45:H52)</f>
        <v>6176.8</v>
      </c>
    </row>
    <row r="54" ht="14.25" customHeight="1"/>
    <row r="55" ht="14.25" customHeight="1"/>
    <row r="56" ht="14.25" customHeight="1"/>
    <row r="57" ht="14.25" customHeight="1"/>
    <row r="58" ht="14.25" customHeight="1">
      <c r="A58" s="1" t="s">
        <v>69</v>
      </c>
    </row>
    <row r="59" ht="14.25" customHeight="1"/>
    <row r="60" ht="14.25" customHeight="1">
      <c r="A60" s="1" t="s">
        <v>70</v>
      </c>
      <c r="B60" s="1" t="s">
        <v>71</v>
      </c>
      <c r="C60" s="1">
        <v>200.0</v>
      </c>
    </row>
    <row r="61" ht="14.25" customHeight="1">
      <c r="A61" s="1" t="s">
        <v>72</v>
      </c>
      <c r="B61" s="1" t="s">
        <v>73</v>
      </c>
      <c r="C61" s="1">
        <v>300.0</v>
      </c>
    </row>
    <row r="62" ht="14.25" customHeight="1">
      <c r="A62" s="1" t="s">
        <v>74</v>
      </c>
      <c r="B62" s="1" t="s">
        <v>75</v>
      </c>
      <c r="C62" s="1">
        <v>700.0</v>
      </c>
    </row>
    <row r="63" ht="14.25" customHeight="1">
      <c r="A63" s="1" t="s">
        <v>76</v>
      </c>
      <c r="B63" s="1" t="s">
        <v>77</v>
      </c>
      <c r="C63" s="1">
        <v>2000.0</v>
      </c>
    </row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4" width="8.71"/>
    <col customWidth="1" min="5" max="5" width="10.57"/>
    <col customWidth="1" min="6" max="6" width="8.71"/>
    <col customWidth="1" min="7" max="7" width="16.71"/>
    <col customWidth="1" min="8" max="12" width="8.71"/>
    <col customWidth="1" min="13" max="13" width="12.86"/>
    <col customWidth="1" min="14" max="14" width="11.0"/>
    <col customWidth="1" min="15" max="15" width="8.71"/>
    <col customWidth="1" min="16" max="16" width="12.86"/>
    <col customWidth="1" min="17" max="26" width="8.71"/>
  </cols>
  <sheetData>
    <row r="1" ht="14.25" customHeight="1">
      <c r="A1" s="10">
        <v>45901.0</v>
      </c>
      <c r="E1" s="11">
        <v>45911.0</v>
      </c>
    </row>
    <row r="2" ht="14.25" customHeight="1">
      <c r="C2" s="5" t="s">
        <v>28</v>
      </c>
      <c r="D2" s="5" t="s">
        <v>29</v>
      </c>
      <c r="E2" s="5" t="s">
        <v>30</v>
      </c>
      <c r="F2" s="5" t="s">
        <v>31</v>
      </c>
    </row>
    <row r="3" ht="14.25" customHeight="1">
      <c r="A3" s="3" t="s">
        <v>3</v>
      </c>
      <c r="B3" s="3" t="s">
        <v>44</v>
      </c>
      <c r="C3" s="3">
        <v>6000.0</v>
      </c>
      <c r="D3" s="3">
        <f t="shared" ref="D3:D11" si="1">(F3-C3)</f>
        <v>559</v>
      </c>
      <c r="E3" s="3">
        <v>315.0</v>
      </c>
      <c r="F3" s="3">
        <v>6559.0</v>
      </c>
      <c r="G3" s="3">
        <v>500.0</v>
      </c>
      <c r="H3" s="3" t="s">
        <v>39</v>
      </c>
      <c r="I3" s="3"/>
      <c r="J3" s="3"/>
      <c r="L3" s="4"/>
      <c r="M3" s="1">
        <v>52990.0</v>
      </c>
      <c r="N3" s="1" t="s">
        <v>59</v>
      </c>
      <c r="P3" s="1" t="s">
        <v>78</v>
      </c>
      <c r="Q3" s="1">
        <v>-157.0</v>
      </c>
    </row>
    <row r="4" ht="14.25" customHeight="1">
      <c r="A4" s="3" t="s">
        <v>1</v>
      </c>
      <c r="B4" s="3" t="s">
        <v>33</v>
      </c>
      <c r="C4" s="3">
        <v>3346.0</v>
      </c>
      <c r="D4" s="3">
        <f t="shared" si="1"/>
        <v>373</v>
      </c>
      <c r="E4" s="3">
        <v>200.0</v>
      </c>
      <c r="F4" s="3">
        <v>3719.0</v>
      </c>
      <c r="G4" s="3">
        <v>400.0</v>
      </c>
      <c r="H4" s="3" t="s">
        <v>7</v>
      </c>
      <c r="I4" s="3">
        <v>-157.0</v>
      </c>
      <c r="J4" s="3">
        <f t="shared" ref="J4:J10" si="2">G4+I4</f>
        <v>243</v>
      </c>
      <c r="L4" s="4"/>
      <c r="M4" s="1">
        <v>-51105.0</v>
      </c>
      <c r="N4" s="1" t="s">
        <v>60</v>
      </c>
      <c r="O4" s="5"/>
      <c r="P4" s="1" t="s">
        <v>79</v>
      </c>
      <c r="Q4" s="1">
        <v>1168.72</v>
      </c>
      <c r="S4" s="1">
        <v>90674.0</v>
      </c>
    </row>
    <row r="5" ht="14.25" customHeight="1">
      <c r="A5" s="3" t="s">
        <v>6</v>
      </c>
      <c r="B5" s="3" t="s">
        <v>35</v>
      </c>
      <c r="C5" s="3">
        <v>3974.0</v>
      </c>
      <c r="D5" s="3">
        <f t="shared" si="1"/>
        <v>380</v>
      </c>
      <c r="E5" s="3">
        <v>200.0</v>
      </c>
      <c r="F5" s="3">
        <v>4354.0</v>
      </c>
      <c r="G5" s="3">
        <v>400.0</v>
      </c>
      <c r="H5" s="3" t="s">
        <v>7</v>
      </c>
      <c r="I5" s="3">
        <v>1168.0</v>
      </c>
      <c r="J5" s="3">
        <f t="shared" si="2"/>
        <v>1568</v>
      </c>
      <c r="L5" s="4"/>
      <c r="S5" s="1">
        <f>(S4/2)</f>
        <v>45337</v>
      </c>
    </row>
    <row r="6" ht="14.25" customHeight="1">
      <c r="A6" s="3" t="s">
        <v>6</v>
      </c>
      <c r="B6" s="3" t="s">
        <v>36</v>
      </c>
      <c r="C6" s="3">
        <v>6329.0</v>
      </c>
      <c r="D6" s="3">
        <f t="shared" si="1"/>
        <v>1124</v>
      </c>
      <c r="E6" s="3">
        <v>1585.0</v>
      </c>
      <c r="F6" s="3">
        <v>7453.0</v>
      </c>
      <c r="G6" s="3">
        <v>1100.0</v>
      </c>
      <c r="H6" s="3" t="s">
        <v>40</v>
      </c>
      <c r="I6" s="3"/>
      <c r="J6" s="3">
        <f t="shared" si="2"/>
        <v>1100</v>
      </c>
      <c r="L6" s="4"/>
      <c r="M6" s="1" t="s">
        <v>80</v>
      </c>
      <c r="O6" s="1">
        <v>1168.72</v>
      </c>
    </row>
    <row r="7" ht="14.25" customHeight="1">
      <c r="A7" s="3" t="s">
        <v>6</v>
      </c>
      <c r="B7" s="3" t="s">
        <v>45</v>
      </c>
      <c r="C7" s="3">
        <v>3948.0</v>
      </c>
      <c r="D7" s="3">
        <f t="shared" si="1"/>
        <v>508</v>
      </c>
      <c r="E7" s="3">
        <v>525.0</v>
      </c>
      <c r="F7" s="3">
        <v>4456.0</v>
      </c>
      <c r="G7" s="3">
        <v>500.0</v>
      </c>
      <c r="H7" s="3" t="s">
        <v>39</v>
      </c>
      <c r="I7" s="3"/>
      <c r="J7" s="3">
        <f t="shared" si="2"/>
        <v>500</v>
      </c>
      <c r="L7" s="4"/>
      <c r="M7" s="1" t="s">
        <v>81</v>
      </c>
      <c r="O7" s="1">
        <v>-157.0</v>
      </c>
    </row>
    <row r="8" ht="14.25" customHeight="1">
      <c r="A8" s="3" t="s">
        <v>7</v>
      </c>
      <c r="B8" s="3" t="s">
        <v>46</v>
      </c>
      <c r="C8" s="3">
        <v>5234.0</v>
      </c>
      <c r="D8" s="3">
        <f t="shared" si="1"/>
        <v>153</v>
      </c>
      <c r="E8" s="3">
        <v>2251.0</v>
      </c>
      <c r="F8" s="3">
        <v>5387.0</v>
      </c>
      <c r="G8" s="3">
        <v>-2000.0</v>
      </c>
      <c r="H8" s="3" t="s">
        <v>40</v>
      </c>
      <c r="I8" s="3"/>
      <c r="J8" s="3">
        <f t="shared" si="2"/>
        <v>-2000</v>
      </c>
      <c r="L8" s="4"/>
      <c r="M8" s="1" t="s">
        <v>82</v>
      </c>
      <c r="O8" s="1">
        <v>-51105.0</v>
      </c>
    </row>
    <row r="9" ht="14.25" customHeight="1">
      <c r="A9" s="3" t="s">
        <v>8</v>
      </c>
      <c r="B9" s="3"/>
      <c r="C9" s="3">
        <v>5500.0</v>
      </c>
      <c r="D9" s="3">
        <f t="shared" si="1"/>
        <v>367</v>
      </c>
      <c r="E9" s="3">
        <v>0.0</v>
      </c>
      <c r="F9" s="3">
        <v>5867.0</v>
      </c>
      <c r="G9" s="3">
        <v>0.0</v>
      </c>
      <c r="H9" s="3" t="s">
        <v>7</v>
      </c>
      <c r="I9" s="3"/>
      <c r="J9" s="3">
        <f t="shared" si="2"/>
        <v>0</v>
      </c>
      <c r="L9" s="4"/>
      <c r="M9" s="1" t="s">
        <v>83</v>
      </c>
      <c r="O9" s="1">
        <v>7653.0</v>
      </c>
    </row>
    <row r="10" ht="14.25" customHeight="1">
      <c r="A10" s="3" t="s">
        <v>6</v>
      </c>
      <c r="B10" s="3" t="s">
        <v>37</v>
      </c>
      <c r="C10" s="3">
        <v>3000.0</v>
      </c>
      <c r="D10" s="3">
        <f t="shared" si="1"/>
        <v>198</v>
      </c>
      <c r="E10" s="3">
        <v>1001.0</v>
      </c>
      <c r="F10" s="3">
        <v>3198.0</v>
      </c>
      <c r="G10" s="3">
        <v>200.0</v>
      </c>
      <c r="H10" s="3" t="s">
        <v>41</v>
      </c>
      <c r="I10" s="3"/>
      <c r="J10" s="3">
        <f t="shared" si="2"/>
        <v>200</v>
      </c>
      <c r="L10" s="4"/>
    </row>
    <row r="11" ht="14.25" customHeight="1">
      <c r="A11" s="3" t="s">
        <v>1</v>
      </c>
      <c r="B11" s="3" t="s">
        <v>2</v>
      </c>
      <c r="C11" s="3">
        <v>3000.0</v>
      </c>
      <c r="D11" s="3">
        <f t="shared" si="1"/>
        <v>-110</v>
      </c>
      <c r="E11" s="3">
        <v>0.0</v>
      </c>
      <c r="F11" s="3">
        <v>2890.0</v>
      </c>
      <c r="G11" s="3">
        <v>-110.0</v>
      </c>
      <c r="H11" s="3" t="s">
        <v>42</v>
      </c>
      <c r="I11" s="3" t="s">
        <v>84</v>
      </c>
      <c r="J11" s="3"/>
      <c r="L11" s="4"/>
    </row>
    <row r="12" ht="14.25" customHeight="1">
      <c r="A12" s="3"/>
      <c r="B12" s="3">
        <f>(D12/C12)</f>
        <v>0.08807121073</v>
      </c>
      <c r="C12" s="3">
        <f t="shared" ref="C12:F12" si="3">SUM(C3:C11)</f>
        <v>40331</v>
      </c>
      <c r="D12" s="3">
        <f t="shared" si="3"/>
        <v>3552</v>
      </c>
      <c r="E12" s="3">
        <f t="shared" si="3"/>
        <v>6077</v>
      </c>
      <c r="F12" s="3">
        <f t="shared" si="3"/>
        <v>43883</v>
      </c>
      <c r="G12" s="3"/>
      <c r="H12" s="3"/>
      <c r="I12" s="3"/>
      <c r="J12" s="3">
        <f>G12+I12</f>
        <v>0</v>
      </c>
      <c r="L12" s="4"/>
    </row>
    <row r="13" ht="14.25" customHeight="1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ht="14.25" customHeight="1">
      <c r="A14" s="3" t="s">
        <v>11</v>
      </c>
      <c r="B14" s="3" t="s">
        <v>49</v>
      </c>
      <c r="C14" s="3">
        <v>9000.0</v>
      </c>
      <c r="D14" s="3">
        <f t="shared" ref="D14:D17" si="4">(F14-C14)</f>
        <v>-2209</v>
      </c>
      <c r="E14" s="3">
        <v>1933.0</v>
      </c>
      <c r="F14" s="3">
        <v>6791.0</v>
      </c>
      <c r="G14" s="3"/>
      <c r="H14" s="3"/>
      <c r="I14" s="3"/>
      <c r="J14" s="3"/>
    </row>
    <row r="15" ht="14.25" customHeight="1">
      <c r="A15" s="3" t="s">
        <v>9</v>
      </c>
      <c r="B15" s="3" t="s">
        <v>50</v>
      </c>
      <c r="C15" s="3">
        <v>8000.0</v>
      </c>
      <c r="D15" s="3">
        <f t="shared" si="4"/>
        <v>-1638</v>
      </c>
      <c r="E15" s="3">
        <v>403.0</v>
      </c>
      <c r="F15" s="3">
        <v>6362.0</v>
      </c>
      <c r="G15" s="3"/>
      <c r="H15" s="3"/>
      <c r="I15" s="3"/>
      <c r="J15" s="3"/>
    </row>
    <row r="16" ht="14.25" customHeight="1">
      <c r="A16" s="3" t="s">
        <v>10</v>
      </c>
      <c r="B16" s="3" t="s">
        <v>64</v>
      </c>
      <c r="C16" s="3">
        <v>2000.0</v>
      </c>
      <c r="D16" s="3">
        <f t="shared" si="4"/>
        <v>867</v>
      </c>
      <c r="E16" s="3">
        <v>159.0</v>
      </c>
      <c r="F16" s="3">
        <v>2867.0</v>
      </c>
      <c r="G16" s="3"/>
      <c r="H16" s="3"/>
      <c r="I16" s="3"/>
      <c r="J16" s="3"/>
    </row>
    <row r="17" ht="14.25" customHeight="1">
      <c r="A17" s="3" t="s">
        <v>11</v>
      </c>
      <c r="B17" s="3" t="s">
        <v>65</v>
      </c>
      <c r="C17" s="3">
        <v>2000.0</v>
      </c>
      <c r="D17" s="3">
        <f t="shared" si="4"/>
        <v>539</v>
      </c>
      <c r="E17" s="3">
        <v>88.0</v>
      </c>
      <c r="F17" s="3">
        <v>2539.0</v>
      </c>
      <c r="G17" s="3"/>
      <c r="H17" s="3"/>
      <c r="I17" s="3"/>
      <c r="J17" s="3"/>
    </row>
    <row r="18" ht="14.25" customHeight="1">
      <c r="A18" s="3"/>
      <c r="B18" s="3">
        <f>(D18/C18)</f>
        <v>-0.1162380952</v>
      </c>
      <c r="C18" s="3">
        <f t="shared" ref="C18:F18" si="5">SUM(C14:C17)</f>
        <v>21000</v>
      </c>
      <c r="D18" s="3">
        <f t="shared" si="5"/>
        <v>-2441</v>
      </c>
      <c r="E18" s="3">
        <f t="shared" si="5"/>
        <v>2583</v>
      </c>
      <c r="F18" s="3">
        <f t="shared" si="5"/>
        <v>18559</v>
      </c>
      <c r="G18" s="3"/>
      <c r="H18" s="3"/>
      <c r="I18" s="3"/>
      <c r="J18" s="3"/>
    </row>
    <row r="19" ht="14.25" customHeight="1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ht="14.25" customHeight="1">
      <c r="A20" s="3" t="s">
        <v>12</v>
      </c>
      <c r="B20" s="3" t="s">
        <v>51</v>
      </c>
      <c r="C20" s="3">
        <v>9000.0</v>
      </c>
      <c r="D20" s="3">
        <f t="shared" ref="D20:D24" si="6">(F20-C20)</f>
        <v>522</v>
      </c>
      <c r="E20" s="3">
        <v>452.0</v>
      </c>
      <c r="F20" s="3">
        <v>9522.0</v>
      </c>
      <c r="G20" s="3">
        <v>522.0</v>
      </c>
      <c r="H20" s="3"/>
      <c r="I20" s="3"/>
      <c r="J20" s="3"/>
    </row>
    <row r="21" ht="14.25" customHeight="1">
      <c r="A21" s="3" t="s">
        <v>12</v>
      </c>
      <c r="B21" s="3" t="s">
        <v>52</v>
      </c>
      <c r="C21" s="3">
        <v>8000.0</v>
      </c>
      <c r="D21" s="3">
        <f t="shared" si="6"/>
        <v>1136</v>
      </c>
      <c r="E21" s="3">
        <v>3897.0</v>
      </c>
      <c r="F21" s="3">
        <v>9136.0</v>
      </c>
      <c r="G21" s="3">
        <v>1136.0</v>
      </c>
      <c r="H21" s="3"/>
      <c r="I21" s="3">
        <v>1136.0</v>
      </c>
      <c r="J21" s="3"/>
      <c r="L21" s="1">
        <v>2863.18</v>
      </c>
    </row>
    <row r="22" ht="14.25" customHeight="1">
      <c r="A22" s="3" t="s">
        <v>12</v>
      </c>
      <c r="B22" s="3" t="s">
        <v>53</v>
      </c>
      <c r="C22" s="3">
        <v>9000.0</v>
      </c>
      <c r="D22" s="3">
        <f t="shared" si="6"/>
        <v>369</v>
      </c>
      <c r="E22" s="3">
        <v>4826.0</v>
      </c>
      <c r="F22" s="3">
        <v>9369.0</v>
      </c>
      <c r="G22" s="3">
        <v>369.0</v>
      </c>
      <c r="H22" s="3"/>
      <c r="I22" s="3">
        <v>369.0</v>
      </c>
      <c r="J22" s="3"/>
      <c r="L22" s="1">
        <v>2245.34</v>
      </c>
    </row>
    <row r="23" ht="14.25" customHeight="1">
      <c r="A23" s="3" t="s">
        <v>54</v>
      </c>
      <c r="B23" s="3" t="s">
        <v>55</v>
      </c>
      <c r="C23" s="3">
        <v>7000.0</v>
      </c>
      <c r="D23" s="3">
        <f t="shared" si="6"/>
        <v>424</v>
      </c>
      <c r="E23" s="3">
        <v>217.0</v>
      </c>
      <c r="F23" s="3">
        <v>7424.0</v>
      </c>
      <c r="G23" s="3">
        <v>424.0</v>
      </c>
      <c r="H23" s="3"/>
      <c r="I23" s="3"/>
      <c r="J23" s="3"/>
      <c r="L23" s="1">
        <v>442.94</v>
      </c>
    </row>
    <row r="24" ht="14.25" customHeight="1">
      <c r="A24" s="3" t="s">
        <v>12</v>
      </c>
      <c r="B24" s="3" t="s">
        <v>56</v>
      </c>
      <c r="C24" s="3">
        <v>7000.0</v>
      </c>
      <c r="D24" s="3">
        <f t="shared" si="6"/>
        <v>362</v>
      </c>
      <c r="E24" s="3">
        <v>155.0</v>
      </c>
      <c r="F24" s="3">
        <v>7362.0</v>
      </c>
      <c r="G24" s="3">
        <v>349.0</v>
      </c>
      <c r="H24" s="3"/>
      <c r="I24" s="3"/>
      <c r="J24" s="3"/>
    </row>
    <row r="25" ht="14.25" customHeight="1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ht="14.25" customHeight="1">
      <c r="A26" s="3"/>
      <c r="B26" s="3">
        <f>(D26/C26)</f>
        <v>0.070325</v>
      </c>
      <c r="C26" s="3">
        <f t="shared" ref="C26:D26" si="7">SUM(C20:C25)</f>
        <v>40000</v>
      </c>
      <c r="D26" s="3">
        <f t="shared" si="7"/>
        <v>2813</v>
      </c>
      <c r="E26" s="3">
        <f t="shared" ref="E26:F26" si="8">SUM(E20:E24)</f>
        <v>9547</v>
      </c>
      <c r="F26" s="3">
        <f t="shared" si="8"/>
        <v>42813</v>
      </c>
      <c r="G26" s="3">
        <v>2800.0</v>
      </c>
      <c r="H26" s="3">
        <v>560.0</v>
      </c>
      <c r="I26" s="3"/>
      <c r="J26" s="3"/>
      <c r="L26" s="1" t="s">
        <v>85</v>
      </c>
    </row>
    <row r="27" ht="14.25" customHeight="1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ht="14.25" customHeight="1">
      <c r="A28" s="3" t="s">
        <v>13</v>
      </c>
      <c r="B28" s="3" t="s">
        <v>4</v>
      </c>
      <c r="C28" s="3">
        <v>9750.0</v>
      </c>
      <c r="D28" s="3">
        <f t="shared" ref="D28:D29" si="9">(F28-C28)</f>
        <v>665</v>
      </c>
      <c r="E28" s="3">
        <v>443.0</v>
      </c>
      <c r="F28" s="3">
        <v>10415.0</v>
      </c>
      <c r="G28" s="3">
        <v>665.0</v>
      </c>
      <c r="H28" s="3"/>
      <c r="I28" s="3"/>
      <c r="J28" s="3"/>
    </row>
    <row r="29" ht="14.25" customHeight="1">
      <c r="A29" s="3" t="s">
        <v>13</v>
      </c>
      <c r="B29" s="3" t="s">
        <v>5</v>
      </c>
      <c r="C29" s="3">
        <v>10250.0</v>
      </c>
      <c r="D29" s="3">
        <f t="shared" si="9"/>
        <v>956</v>
      </c>
      <c r="E29" s="3">
        <v>1620.0</v>
      </c>
      <c r="F29" s="3">
        <v>11206.0</v>
      </c>
      <c r="G29" s="3">
        <v>935.0</v>
      </c>
      <c r="H29" s="3"/>
      <c r="I29" s="3">
        <v>935.0</v>
      </c>
      <c r="J29" s="3" t="s">
        <v>86</v>
      </c>
    </row>
    <row r="30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ht="14.25" customHeight="1">
      <c r="A31" s="3"/>
      <c r="B31" s="3">
        <f>(D31/C31)</f>
        <v>0.08105</v>
      </c>
      <c r="C31" s="3">
        <f>SUM(C28:C30)</f>
        <v>20000</v>
      </c>
      <c r="D31" s="3">
        <f>(D29+D28)</f>
        <v>1621</v>
      </c>
      <c r="E31" s="3">
        <f t="shared" ref="E31:F31" si="10">SUM(E28:E30)</f>
        <v>2063</v>
      </c>
      <c r="F31" s="3">
        <f t="shared" si="10"/>
        <v>21621</v>
      </c>
      <c r="G31" s="3">
        <v>1600.0</v>
      </c>
      <c r="H31" s="3">
        <v>320.0</v>
      </c>
      <c r="I31" s="3"/>
      <c r="J31" s="3"/>
    </row>
    <row r="32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ht="14.25" customHeight="1">
      <c r="A34" s="3" t="s">
        <v>14</v>
      </c>
      <c r="B34" s="3" t="s">
        <v>4</v>
      </c>
      <c r="C34" s="3">
        <v>5000.0</v>
      </c>
      <c r="D34" s="3">
        <f>(F34-C34)</f>
        <v>365</v>
      </c>
      <c r="E34" s="3">
        <v>187.0</v>
      </c>
      <c r="F34" s="3">
        <v>5365.0</v>
      </c>
      <c r="G34" s="3">
        <v>350.0</v>
      </c>
      <c r="H34" s="3">
        <v>70.0</v>
      </c>
      <c r="I34" s="3"/>
      <c r="J34" s="3"/>
    </row>
    <row r="35" ht="14.25" customHeight="1">
      <c r="A35" s="3"/>
      <c r="B35" s="3">
        <f>(D34/C34)</f>
        <v>0.073</v>
      </c>
      <c r="C35" s="3"/>
      <c r="D35" s="3"/>
      <c r="E35" s="3"/>
      <c r="F35" s="3"/>
      <c r="G35" s="3"/>
      <c r="H35" s="3"/>
      <c r="I35" s="3"/>
      <c r="J35" s="3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ht="14.25" customHeight="1">
      <c r="A37" s="3" t="s">
        <v>15</v>
      </c>
      <c r="B37" s="3" t="s">
        <v>5</v>
      </c>
      <c r="C37" s="3">
        <v>5000.0</v>
      </c>
      <c r="D37" s="3">
        <f>(F37-C37)</f>
        <v>656</v>
      </c>
      <c r="E37" s="3">
        <v>1309.0</v>
      </c>
      <c r="F37" s="3">
        <v>5656.0</v>
      </c>
      <c r="G37" s="3">
        <v>650.0</v>
      </c>
      <c r="H37" s="3">
        <v>130.0</v>
      </c>
      <c r="I37" s="3"/>
      <c r="J37" s="3"/>
    </row>
    <row r="38" ht="14.25" customHeight="1">
      <c r="A38" s="3"/>
      <c r="B38" s="3">
        <f>(D37/C37)</f>
        <v>0.1312</v>
      </c>
      <c r="C38" s="3"/>
      <c r="D38" s="3"/>
      <c r="E38" s="3"/>
      <c r="F38" s="3"/>
      <c r="G38" s="3"/>
      <c r="H38" s="3"/>
      <c r="I38" s="3"/>
      <c r="J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ht="14.25" customHeight="1">
      <c r="A41" s="3"/>
      <c r="B41" s="3">
        <f>(D41/C41)</f>
        <v>0.04999581211</v>
      </c>
      <c r="C41" s="3">
        <f t="shared" ref="C41:E41" si="11">(C37+C34+C31+C26+C18+C12)</f>
        <v>131331</v>
      </c>
      <c r="D41" s="3">
        <f t="shared" si="11"/>
        <v>6566</v>
      </c>
      <c r="E41" s="3">
        <f t="shared" si="11"/>
        <v>21766</v>
      </c>
      <c r="F41" s="3"/>
      <c r="G41" s="3"/>
      <c r="H41" s="3"/>
      <c r="I41" s="3"/>
      <c r="J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ht="14.25" customHeight="1">
      <c r="A43" s="3"/>
      <c r="B43" s="3"/>
      <c r="C43" s="3"/>
      <c r="D43" s="3"/>
      <c r="E43" s="3"/>
      <c r="F43" s="3"/>
      <c r="G43" s="3" t="s">
        <v>66</v>
      </c>
      <c r="H43" s="3">
        <v>990.0</v>
      </c>
      <c r="I43" s="3"/>
      <c r="J43" s="3"/>
    </row>
    <row r="44" ht="14.25" customHeight="1">
      <c r="A44" s="3"/>
      <c r="B44" s="3"/>
      <c r="C44" s="3"/>
      <c r="D44" s="3"/>
      <c r="E44" s="3"/>
      <c r="F44" s="3"/>
      <c r="G44" s="3" t="s">
        <v>67</v>
      </c>
      <c r="H44" s="3">
        <v>1080.0</v>
      </c>
      <c r="I44" s="3"/>
      <c r="J44" s="3"/>
    </row>
    <row r="45" ht="14.25" customHeight="1">
      <c r="A45" s="3"/>
      <c r="B45" s="3"/>
      <c r="C45" s="3"/>
      <c r="D45" s="3"/>
      <c r="E45" s="3"/>
      <c r="F45" s="3" t="s">
        <v>27</v>
      </c>
      <c r="G45" s="3" t="s">
        <v>19</v>
      </c>
      <c r="H45" s="3">
        <v>126.0</v>
      </c>
      <c r="I45" s="3"/>
      <c r="J45" s="3"/>
    </row>
    <row r="46" ht="14.25" customHeight="1">
      <c r="A46" s="3"/>
      <c r="B46" s="3"/>
      <c r="C46" s="3"/>
      <c r="D46" s="3"/>
      <c r="E46" s="3"/>
      <c r="F46" s="3" t="s">
        <v>39</v>
      </c>
      <c r="G46" s="3" t="s">
        <v>19</v>
      </c>
      <c r="H46" s="3">
        <v>17.0</v>
      </c>
      <c r="I46" s="3"/>
      <c r="J46" s="3"/>
    </row>
    <row r="47" ht="14.25" customHeight="1">
      <c r="A47" s="3"/>
      <c r="B47" s="3"/>
      <c r="C47" s="3"/>
      <c r="D47" s="3"/>
      <c r="E47" s="3"/>
      <c r="F47" s="3"/>
      <c r="G47" s="3" t="s">
        <v>20</v>
      </c>
      <c r="H47" s="3"/>
      <c r="I47" s="3"/>
      <c r="J47" s="3"/>
    </row>
    <row r="48" ht="14.25" customHeight="1">
      <c r="A48" s="3"/>
      <c r="B48" s="3"/>
      <c r="C48" s="3"/>
      <c r="D48" s="3"/>
      <c r="E48" s="3"/>
      <c r="F48" s="3"/>
      <c r="G48" s="3" t="s">
        <v>21</v>
      </c>
      <c r="H48" s="3">
        <v>219.0</v>
      </c>
      <c r="I48" s="3" t="s">
        <v>43</v>
      </c>
      <c r="J48" s="3"/>
    </row>
    <row r="49" ht="14.25" customHeight="1">
      <c r="A49" s="3"/>
      <c r="B49" s="3"/>
      <c r="C49" s="3"/>
      <c r="D49" s="3"/>
      <c r="E49" s="3"/>
      <c r="F49" s="3"/>
      <c r="G49" s="3" t="s">
        <v>58</v>
      </c>
      <c r="H49" s="3"/>
      <c r="I49" s="3"/>
      <c r="J49" s="3"/>
    </row>
    <row r="50" ht="14.25" customHeight="1">
      <c r="A50" s="3"/>
      <c r="B50" s="3"/>
      <c r="C50" s="3"/>
      <c r="D50" s="3"/>
      <c r="E50" s="3"/>
      <c r="F50" s="3"/>
      <c r="G50" s="3" t="s">
        <v>68</v>
      </c>
      <c r="H50" s="3">
        <v>1030.0</v>
      </c>
      <c r="I50" s="3"/>
      <c r="J50" s="3"/>
    </row>
    <row r="51" ht="14.25" customHeight="1">
      <c r="A51" s="3"/>
      <c r="B51" s="3"/>
      <c r="C51" s="3"/>
      <c r="D51" s="3"/>
      <c r="E51" s="3"/>
      <c r="F51" s="3"/>
      <c r="G51" s="3" t="s">
        <v>18</v>
      </c>
      <c r="H51" s="3">
        <f>SUM(H43:H50)</f>
        <v>3462</v>
      </c>
      <c r="I51" s="3"/>
      <c r="J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ht="14.25" customHeight="1">
      <c r="A56" s="3" t="s">
        <v>69</v>
      </c>
      <c r="B56" s="3"/>
      <c r="C56" s="3"/>
      <c r="D56" s="3"/>
      <c r="E56" s="3"/>
      <c r="F56" s="3"/>
      <c r="G56" s="3"/>
      <c r="H56" s="3"/>
      <c r="I56" s="3"/>
      <c r="J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ht="14.25" customHeight="1">
      <c r="A58" s="3" t="s">
        <v>70</v>
      </c>
      <c r="B58" s="3" t="s">
        <v>71</v>
      </c>
      <c r="C58" s="3"/>
      <c r="D58" s="3">
        <v>0.0</v>
      </c>
      <c r="E58" s="3"/>
      <c r="F58" s="3"/>
      <c r="G58" s="3"/>
      <c r="H58" s="3"/>
      <c r="I58" s="3"/>
      <c r="J58" s="3"/>
    </row>
    <row r="59" ht="14.25" customHeight="1">
      <c r="A59" s="3" t="s">
        <v>72</v>
      </c>
      <c r="B59" s="3" t="s">
        <v>73</v>
      </c>
      <c r="C59" s="3"/>
      <c r="D59" s="3">
        <v>300.0</v>
      </c>
      <c r="E59" s="3"/>
      <c r="F59" s="3"/>
      <c r="G59" s="3"/>
      <c r="H59" s="3"/>
      <c r="I59" s="3"/>
      <c r="J59" s="3"/>
    </row>
    <row r="60" ht="14.25" customHeight="1">
      <c r="A60" s="3" t="s">
        <v>74</v>
      </c>
      <c r="B60" s="3" t="s">
        <v>75</v>
      </c>
      <c r="C60" s="3"/>
      <c r="D60" s="3">
        <v>0.0</v>
      </c>
      <c r="E60" s="3"/>
      <c r="F60" s="3"/>
      <c r="G60" s="3"/>
      <c r="H60" s="3"/>
      <c r="I60" s="3"/>
      <c r="J60" s="3"/>
    </row>
    <row r="61" ht="14.25" customHeight="1">
      <c r="A61" s="3" t="s">
        <v>76</v>
      </c>
      <c r="B61" s="3" t="s">
        <v>77</v>
      </c>
      <c r="C61" s="3"/>
      <c r="D61" s="3">
        <v>1800.0</v>
      </c>
      <c r="E61" s="3"/>
      <c r="F61" s="3"/>
      <c r="G61" s="3"/>
      <c r="H61" s="3"/>
      <c r="I61" s="3"/>
      <c r="J61" s="3"/>
    </row>
    <row r="62" ht="14.25" customHeight="1">
      <c r="A62" s="3" t="s">
        <v>76</v>
      </c>
      <c r="B62" s="3" t="s">
        <v>87</v>
      </c>
      <c r="C62" s="3"/>
      <c r="D62" s="3">
        <v>700.0</v>
      </c>
      <c r="E62" s="3"/>
      <c r="F62" s="3"/>
      <c r="G62" s="3"/>
      <c r="H62" s="3"/>
      <c r="I62" s="3"/>
      <c r="J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8.71"/>
    <col customWidth="1" min="3" max="3" width="17.57"/>
    <col customWidth="1" min="7" max="7" width="17.43"/>
  </cols>
  <sheetData>
    <row r="1">
      <c r="A1" s="12">
        <v>45955.0</v>
      </c>
      <c r="E1" s="13" t="s">
        <v>88</v>
      </c>
    </row>
    <row r="2">
      <c r="C2" s="5" t="s">
        <v>28</v>
      </c>
      <c r="D2" s="5" t="s">
        <v>29</v>
      </c>
      <c r="E2" s="5" t="s">
        <v>30</v>
      </c>
      <c r="F2" s="5" t="s">
        <v>31</v>
      </c>
    </row>
    <row r="3">
      <c r="A3" s="3" t="s">
        <v>3</v>
      </c>
      <c r="B3" s="3" t="s">
        <v>44</v>
      </c>
      <c r="C3" s="3">
        <v>6000.0</v>
      </c>
      <c r="D3" s="3">
        <f t="shared" ref="D3:D11" si="1">(F3-C3)</f>
        <v>577</v>
      </c>
      <c r="E3" s="14">
        <v>493.0</v>
      </c>
      <c r="F3" s="14">
        <v>6577.0</v>
      </c>
      <c r="G3" s="3"/>
      <c r="H3" s="3" t="s">
        <v>39</v>
      </c>
      <c r="I3" s="3"/>
      <c r="J3" s="3"/>
      <c r="L3" s="4"/>
    </row>
    <row r="4">
      <c r="A4" s="3" t="s">
        <v>1</v>
      </c>
      <c r="B4" s="3" t="s">
        <v>33</v>
      </c>
      <c r="C4" s="14">
        <v>6346.0</v>
      </c>
      <c r="D4" s="3">
        <f t="shared" si="1"/>
        <v>163</v>
      </c>
      <c r="E4" s="14">
        <v>0.0</v>
      </c>
      <c r="F4" s="14">
        <v>6509.0</v>
      </c>
      <c r="G4" s="3"/>
      <c r="H4" s="3" t="s">
        <v>7</v>
      </c>
      <c r="I4" s="3"/>
      <c r="J4" s="3"/>
      <c r="L4" s="15" t="s">
        <v>89</v>
      </c>
    </row>
    <row r="5">
      <c r="A5" s="3" t="s">
        <v>6</v>
      </c>
      <c r="B5" s="3" t="s">
        <v>35</v>
      </c>
      <c r="C5" s="14">
        <v>2474.0</v>
      </c>
      <c r="D5" s="3">
        <f t="shared" si="1"/>
        <v>221</v>
      </c>
      <c r="E5" s="14">
        <v>0.0</v>
      </c>
      <c r="F5" s="14">
        <v>2695.0</v>
      </c>
      <c r="G5" s="3"/>
      <c r="H5" s="3" t="s">
        <v>7</v>
      </c>
      <c r="I5" s="3"/>
      <c r="J5" s="3"/>
      <c r="L5" s="16" t="s">
        <v>90</v>
      </c>
    </row>
    <row r="6">
      <c r="A6" s="3" t="s">
        <v>6</v>
      </c>
      <c r="B6" s="3" t="s">
        <v>36</v>
      </c>
      <c r="C6" s="14">
        <v>7329.0</v>
      </c>
      <c r="D6" s="3">
        <f t="shared" si="1"/>
        <v>564</v>
      </c>
      <c r="E6" s="14">
        <v>2503.0</v>
      </c>
      <c r="F6" s="14">
        <v>7893.0</v>
      </c>
      <c r="G6" s="3"/>
      <c r="H6" s="3" t="s">
        <v>40</v>
      </c>
      <c r="I6" s="3"/>
      <c r="J6" s="3"/>
      <c r="L6" s="15" t="s">
        <v>91</v>
      </c>
    </row>
    <row r="7">
      <c r="A7" s="3" t="s">
        <v>6</v>
      </c>
      <c r="B7" s="3" t="s">
        <v>45</v>
      </c>
      <c r="C7" s="3">
        <v>3948.0</v>
      </c>
      <c r="D7" s="3">
        <f t="shared" si="1"/>
        <v>521</v>
      </c>
      <c r="E7" s="14">
        <v>662.0</v>
      </c>
      <c r="F7" s="14">
        <v>4469.0</v>
      </c>
      <c r="G7" s="3"/>
      <c r="H7" s="3" t="s">
        <v>39</v>
      </c>
      <c r="I7" s="3"/>
      <c r="J7" s="3"/>
      <c r="L7" s="4"/>
    </row>
    <row r="8">
      <c r="A8" s="3" t="s">
        <v>7</v>
      </c>
      <c r="B8" s="3" t="s">
        <v>46</v>
      </c>
      <c r="C8" s="14">
        <v>4234.0</v>
      </c>
      <c r="D8" s="3">
        <f t="shared" si="1"/>
        <v>-105</v>
      </c>
      <c r="E8" s="14">
        <v>1477.0</v>
      </c>
      <c r="F8" s="14">
        <v>4129.0</v>
      </c>
      <c r="G8" s="3"/>
      <c r="H8" s="3" t="s">
        <v>40</v>
      </c>
      <c r="I8" s="3"/>
      <c r="J8" s="3"/>
      <c r="L8" s="17">
        <v>402042.0</v>
      </c>
    </row>
    <row r="9">
      <c r="A9" s="3" t="s">
        <v>8</v>
      </c>
      <c r="B9" s="3"/>
      <c r="C9" s="3">
        <v>5500.0</v>
      </c>
      <c r="D9" s="3">
        <f t="shared" si="1"/>
        <v>-2623</v>
      </c>
      <c r="E9" s="3">
        <v>0.0</v>
      </c>
      <c r="F9" s="14">
        <v>2877.0</v>
      </c>
      <c r="G9" s="3"/>
      <c r="H9" s="3" t="s">
        <v>7</v>
      </c>
      <c r="I9" s="3"/>
      <c r="J9" s="3"/>
      <c r="L9" s="4"/>
    </row>
    <row r="10">
      <c r="A10" s="3" t="s">
        <v>6</v>
      </c>
      <c r="B10" s="3" t="s">
        <v>37</v>
      </c>
      <c r="C10" s="14">
        <v>5500.0</v>
      </c>
      <c r="D10" s="3">
        <f t="shared" si="1"/>
        <v>210</v>
      </c>
      <c r="E10" s="14">
        <v>3124.0</v>
      </c>
      <c r="F10" s="14">
        <v>5710.0</v>
      </c>
      <c r="G10" s="3"/>
      <c r="H10" s="3" t="s">
        <v>41</v>
      </c>
      <c r="I10" s="3"/>
      <c r="J10" s="3"/>
      <c r="L10" s="15" t="s">
        <v>92</v>
      </c>
    </row>
    <row r="11">
      <c r="A11" s="14" t="s">
        <v>93</v>
      </c>
      <c r="B11" s="14" t="s">
        <v>4</v>
      </c>
      <c r="C11" s="3">
        <v>3000.0</v>
      </c>
      <c r="D11" s="3">
        <f t="shared" si="1"/>
        <v>497</v>
      </c>
      <c r="E11" s="3">
        <v>0.0</v>
      </c>
      <c r="F11" s="14">
        <v>3497.0</v>
      </c>
      <c r="G11" s="3"/>
      <c r="H11" s="14" t="s">
        <v>39</v>
      </c>
      <c r="I11" s="3"/>
      <c r="J11" s="3"/>
      <c r="L11" s="4"/>
    </row>
    <row r="12">
      <c r="A12" s="3"/>
      <c r="B12" s="3">
        <f>(D12/C12)</f>
        <v>0.0005639394555</v>
      </c>
      <c r="C12" s="3">
        <f t="shared" ref="C12:F12" si="2">SUM(C3:C11)</f>
        <v>44331</v>
      </c>
      <c r="D12" s="3">
        <f t="shared" si="2"/>
        <v>25</v>
      </c>
      <c r="E12" s="3">
        <f t="shared" si="2"/>
        <v>8259</v>
      </c>
      <c r="F12" s="3">
        <f t="shared" si="2"/>
        <v>44356</v>
      </c>
      <c r="G12" s="3"/>
      <c r="H12" s="3"/>
      <c r="I12" s="3"/>
      <c r="J12" s="3"/>
      <c r="L12" s="4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</row>
    <row r="14">
      <c r="A14" s="3" t="s">
        <v>11</v>
      </c>
      <c r="B14" s="3" t="s">
        <v>49</v>
      </c>
      <c r="C14" s="3">
        <v>9000.0</v>
      </c>
      <c r="D14" s="3">
        <f t="shared" ref="D14:D17" si="3">(F14-C14)</f>
        <v>-2274</v>
      </c>
      <c r="E14" s="14">
        <v>2419.0</v>
      </c>
      <c r="F14" s="14">
        <v>6726.0</v>
      </c>
      <c r="G14" s="14">
        <v>250.0</v>
      </c>
      <c r="H14" s="3"/>
      <c r="I14" s="3"/>
      <c r="J14" s="3"/>
    </row>
    <row r="15">
      <c r="A15" s="3" t="s">
        <v>9</v>
      </c>
      <c r="B15" s="3" t="s">
        <v>50</v>
      </c>
      <c r="C15" s="3">
        <v>8000.0</v>
      </c>
      <c r="D15" s="3">
        <f t="shared" si="3"/>
        <v>-1279</v>
      </c>
      <c r="E15" s="14">
        <v>744.0</v>
      </c>
      <c r="F15" s="14">
        <v>6721.0</v>
      </c>
      <c r="G15" s="14">
        <v>250.0</v>
      </c>
      <c r="H15" s="3"/>
      <c r="I15" s="3"/>
      <c r="J15" s="3"/>
    </row>
    <row r="16">
      <c r="A16" s="3" t="s">
        <v>10</v>
      </c>
      <c r="B16" s="3" t="s">
        <v>64</v>
      </c>
      <c r="C16" s="3">
        <v>2000.0</v>
      </c>
      <c r="D16" s="3">
        <f t="shared" si="3"/>
        <v>1106</v>
      </c>
      <c r="E16" s="14">
        <v>400.0</v>
      </c>
      <c r="F16" s="14">
        <v>3106.0</v>
      </c>
      <c r="G16" s="14">
        <v>250.0</v>
      </c>
      <c r="H16" s="3"/>
      <c r="I16" s="3"/>
      <c r="J16" s="3"/>
    </row>
    <row r="17">
      <c r="A17" s="3" t="s">
        <v>11</v>
      </c>
      <c r="B17" s="3" t="s">
        <v>65</v>
      </c>
      <c r="C17" s="3">
        <v>2000.0</v>
      </c>
      <c r="D17" s="3">
        <f t="shared" si="3"/>
        <v>781</v>
      </c>
      <c r="E17" s="14">
        <v>190.0</v>
      </c>
      <c r="F17" s="14">
        <v>2781.0</v>
      </c>
      <c r="G17" s="14">
        <v>250.0</v>
      </c>
      <c r="H17" s="3"/>
      <c r="I17" s="3"/>
      <c r="J17" s="3"/>
    </row>
    <row r="18">
      <c r="A18" s="3"/>
      <c r="B18" s="3">
        <f>(D18/C18)</f>
        <v>-0.07933333333</v>
      </c>
      <c r="C18" s="3">
        <f t="shared" ref="C18:F18" si="4">SUM(C14:C17)</f>
        <v>21000</v>
      </c>
      <c r="D18" s="3">
        <f t="shared" si="4"/>
        <v>-1666</v>
      </c>
      <c r="E18" s="3">
        <f t="shared" si="4"/>
        <v>3753</v>
      </c>
      <c r="F18" s="3">
        <f t="shared" si="4"/>
        <v>19334</v>
      </c>
      <c r="G18" s="3"/>
      <c r="H18" s="3"/>
      <c r="I18" s="3"/>
      <c r="J18" s="3"/>
    </row>
    <row r="19">
      <c r="A19" s="3"/>
      <c r="B19" s="3"/>
      <c r="C19" s="3"/>
      <c r="D19" s="3"/>
      <c r="E19" s="3"/>
      <c r="F19" s="3"/>
      <c r="G19" s="14">
        <v>1000.0</v>
      </c>
      <c r="H19" s="14" t="s">
        <v>94</v>
      </c>
      <c r="I19" s="3"/>
      <c r="J19" s="3"/>
    </row>
    <row r="20">
      <c r="A20" s="3"/>
      <c r="B20" s="3"/>
      <c r="C20" s="3"/>
      <c r="D20" s="3"/>
      <c r="E20" s="14"/>
      <c r="F20" s="14"/>
      <c r="G20" s="14"/>
      <c r="H20" s="3"/>
      <c r="I20" s="3"/>
      <c r="J20" s="3"/>
    </row>
    <row r="21">
      <c r="A21" s="3" t="s">
        <v>12</v>
      </c>
      <c r="B21" s="3" t="s">
        <v>51</v>
      </c>
      <c r="C21" s="3">
        <v>9000.0</v>
      </c>
      <c r="D21" s="3">
        <f>(F21-C21)</f>
        <v>466</v>
      </c>
      <c r="E21" s="14">
        <v>576.0</v>
      </c>
      <c r="F21" s="14">
        <v>9466.0</v>
      </c>
      <c r="G21" s="14">
        <v>450.0</v>
      </c>
      <c r="H21" s="3"/>
      <c r="I21" s="3"/>
      <c r="J21" s="3"/>
    </row>
    <row r="22">
      <c r="A22" s="3" t="s">
        <v>12</v>
      </c>
      <c r="B22" s="3" t="s">
        <v>52</v>
      </c>
      <c r="C22" s="14">
        <v>12500.0</v>
      </c>
      <c r="D22" s="14">
        <v>564.0</v>
      </c>
      <c r="E22" s="14">
        <v>5089.0</v>
      </c>
      <c r="F22" s="14">
        <v>13064.0</v>
      </c>
      <c r="G22" s="14">
        <v>550.0</v>
      </c>
      <c r="H22" s="3"/>
      <c r="I22" s="3"/>
      <c r="J22" s="3"/>
      <c r="L22" s="9">
        <v>2561.1</v>
      </c>
    </row>
    <row r="23">
      <c r="A23" s="3" t="s">
        <v>12</v>
      </c>
      <c r="B23" s="3" t="s">
        <v>53</v>
      </c>
      <c r="C23" s="14">
        <v>10500.0</v>
      </c>
      <c r="D23" s="14">
        <v>227.0</v>
      </c>
      <c r="E23" s="14">
        <v>5879.0</v>
      </c>
      <c r="F23" s="14">
        <v>10727.0</v>
      </c>
      <c r="G23" s="14">
        <v>200.0</v>
      </c>
      <c r="H23" s="14"/>
      <c r="I23" s="3"/>
      <c r="J23" s="3"/>
      <c r="L23" s="9">
        <v>2863.18</v>
      </c>
    </row>
    <row r="24">
      <c r="A24" s="3" t="s">
        <v>54</v>
      </c>
      <c r="B24" s="3" t="s">
        <v>55</v>
      </c>
      <c r="C24" s="3">
        <v>7000.0</v>
      </c>
      <c r="D24" s="3">
        <f t="shared" ref="D24:D25" si="5">(F24-C24)</f>
        <v>476</v>
      </c>
      <c r="E24" s="14">
        <v>304.0</v>
      </c>
      <c r="F24" s="14">
        <v>7476.0</v>
      </c>
      <c r="G24" s="14">
        <v>475.0</v>
      </c>
      <c r="H24" s="3"/>
      <c r="I24" s="3"/>
      <c r="J24" s="3"/>
      <c r="L24" s="1">
        <v>442.94</v>
      </c>
    </row>
    <row r="25">
      <c r="A25" s="3" t="s">
        <v>12</v>
      </c>
      <c r="B25" s="3" t="s">
        <v>56</v>
      </c>
      <c r="C25" s="14">
        <v>1000.0</v>
      </c>
      <c r="D25" s="3">
        <f t="shared" si="5"/>
        <v>227</v>
      </c>
      <c r="E25" s="14">
        <v>0.0</v>
      </c>
      <c r="F25" s="14">
        <v>1227.0</v>
      </c>
      <c r="G25" s="14">
        <v>225.0</v>
      </c>
      <c r="H25" s="14"/>
      <c r="I25" s="3"/>
      <c r="J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</row>
    <row r="27">
      <c r="A27" s="3"/>
      <c r="B27" s="3">
        <f>(D27/C27)</f>
        <v>0.049</v>
      </c>
      <c r="C27" s="3">
        <f t="shared" ref="C27:D27" si="6">SUM(C21:C26)</f>
        <v>40000</v>
      </c>
      <c r="D27" s="3">
        <f t="shared" si="6"/>
        <v>1960</v>
      </c>
      <c r="E27" s="3">
        <f t="shared" ref="E27:F27" si="7">SUM(E21:E25)</f>
        <v>11848</v>
      </c>
      <c r="F27" s="3">
        <f t="shared" si="7"/>
        <v>41960</v>
      </c>
      <c r="G27" s="3">
        <f>(G25+G24+G23+G22+G21)</f>
        <v>1900</v>
      </c>
      <c r="H27" s="3">
        <f>(G27*0.2)</f>
        <v>380</v>
      </c>
      <c r="I27" s="3"/>
      <c r="J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</row>
    <row r="29">
      <c r="A29" s="3" t="s">
        <v>13</v>
      </c>
      <c r="B29" s="3" t="s">
        <v>4</v>
      </c>
      <c r="C29" s="3">
        <v>9750.0</v>
      </c>
      <c r="D29" s="3">
        <f t="shared" ref="D29:D30" si="8">(F29-C29)</f>
        <v>501</v>
      </c>
      <c r="E29" s="14">
        <v>580.0</v>
      </c>
      <c r="F29" s="14">
        <v>10251.0</v>
      </c>
      <c r="G29" s="14">
        <v>500.0</v>
      </c>
      <c r="H29" s="3"/>
      <c r="I29" s="3"/>
      <c r="J29" s="3"/>
    </row>
    <row r="30">
      <c r="A30" s="3" t="s">
        <v>13</v>
      </c>
      <c r="B30" s="3" t="s">
        <v>5</v>
      </c>
      <c r="C30" s="3">
        <v>10250.0</v>
      </c>
      <c r="D30" s="3">
        <f t="shared" si="8"/>
        <v>648</v>
      </c>
      <c r="E30" s="14">
        <v>2658.0</v>
      </c>
      <c r="F30" s="14">
        <v>10898.0</v>
      </c>
      <c r="G30" s="14">
        <v>650.0</v>
      </c>
      <c r="H30" s="3"/>
      <c r="I30" s="3"/>
      <c r="J30" s="3" t="s">
        <v>86</v>
      </c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</row>
    <row r="32">
      <c r="A32" s="3"/>
      <c r="B32" s="3">
        <f>(D32/C32)</f>
        <v>0.05745</v>
      </c>
      <c r="C32" s="3">
        <f>SUM(C29:C31)</f>
        <v>20000</v>
      </c>
      <c r="D32" s="3">
        <f>(D30+D29)</f>
        <v>1149</v>
      </c>
      <c r="E32" s="3">
        <f t="shared" ref="E32:F32" si="9">SUM(E29:E31)</f>
        <v>3238</v>
      </c>
      <c r="F32" s="3">
        <f t="shared" si="9"/>
        <v>21149</v>
      </c>
      <c r="G32" s="3">
        <f>(G30+G29)</f>
        <v>1150</v>
      </c>
      <c r="H32" s="3">
        <f>(G32*0.2)</f>
        <v>230</v>
      </c>
      <c r="I32" s="3"/>
      <c r="J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</row>
    <row r="35">
      <c r="A35" s="3" t="s">
        <v>14</v>
      </c>
      <c r="B35" s="3" t="s">
        <v>4</v>
      </c>
      <c r="C35" s="3">
        <v>5000.0</v>
      </c>
      <c r="D35" s="3">
        <f>(F35-C35)</f>
        <v>183</v>
      </c>
      <c r="E35" s="14">
        <v>0.0</v>
      </c>
      <c r="F35" s="14">
        <v>5183.0</v>
      </c>
      <c r="G35" s="14">
        <v>200.0</v>
      </c>
      <c r="H35" s="14">
        <v>40.0</v>
      </c>
      <c r="I35" s="3"/>
      <c r="J35" s="3"/>
    </row>
    <row r="36">
      <c r="A36" s="3"/>
      <c r="B36" s="3">
        <f>(D35/C35)</f>
        <v>0.0366</v>
      </c>
      <c r="C36" s="3"/>
      <c r="D36" s="3"/>
      <c r="E36" s="3"/>
      <c r="F36" s="3"/>
      <c r="G36" s="3"/>
      <c r="H36" s="3"/>
      <c r="I36" s="3"/>
      <c r="J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</row>
    <row r="38">
      <c r="A38" s="3" t="s">
        <v>15</v>
      </c>
      <c r="B38" s="3" t="s">
        <v>5</v>
      </c>
      <c r="C38" s="3">
        <v>5000.0</v>
      </c>
      <c r="D38" s="3">
        <f>(F38-C38)</f>
        <v>281</v>
      </c>
      <c r="E38" s="14">
        <v>1995.0</v>
      </c>
      <c r="F38" s="14">
        <v>5281.0</v>
      </c>
      <c r="G38" s="14">
        <v>300.0</v>
      </c>
      <c r="H38" s="14">
        <v>60.0</v>
      </c>
      <c r="I38" s="3"/>
      <c r="J38" s="3"/>
    </row>
    <row r="39">
      <c r="A39" s="3"/>
      <c r="B39" s="3">
        <f>(D38/C38)</f>
        <v>0.0562</v>
      </c>
      <c r="C39" s="3"/>
      <c r="D39" s="3"/>
      <c r="E39" s="3"/>
      <c r="F39" s="3"/>
      <c r="G39" s="3"/>
      <c r="H39" s="3"/>
      <c r="I39" s="3"/>
      <c r="J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</row>
    <row r="42">
      <c r="A42" s="3"/>
      <c r="B42" s="3">
        <f>(D42/C42)</f>
        <v>0.01427610821</v>
      </c>
      <c r="C42" s="3">
        <f t="shared" ref="C42:E42" si="10">(C38+C35+C32+C27+C18+C12)</f>
        <v>135331</v>
      </c>
      <c r="D42" s="3">
        <f t="shared" si="10"/>
        <v>1932</v>
      </c>
      <c r="E42" s="3">
        <f t="shared" si="10"/>
        <v>29093</v>
      </c>
      <c r="F42" s="3"/>
      <c r="G42" s="3"/>
      <c r="H42" s="3"/>
      <c r="I42" s="3"/>
      <c r="J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</row>
    <row r="44">
      <c r="A44" s="3"/>
      <c r="B44" s="3"/>
      <c r="C44" s="3"/>
      <c r="D44" s="3"/>
      <c r="E44" s="3"/>
      <c r="F44" s="3"/>
      <c r="G44" s="3" t="s">
        <v>66</v>
      </c>
      <c r="H44" s="14">
        <v>0.0</v>
      </c>
      <c r="I44" s="3"/>
      <c r="J44" s="3"/>
    </row>
    <row r="45">
      <c r="A45" s="3"/>
      <c r="B45" s="3"/>
      <c r="C45" s="3"/>
      <c r="D45" s="3"/>
      <c r="E45" s="3"/>
      <c r="F45" s="3"/>
      <c r="G45" s="3" t="s">
        <v>67</v>
      </c>
      <c r="H45" s="14">
        <v>710.0</v>
      </c>
      <c r="I45" s="3"/>
      <c r="J45" s="3"/>
    </row>
    <row r="46">
      <c r="A46" s="3"/>
      <c r="B46" s="3"/>
      <c r="C46" s="3"/>
      <c r="D46" s="3"/>
      <c r="E46" s="3"/>
      <c r="F46" s="3" t="s">
        <v>27</v>
      </c>
      <c r="G46" s="3" t="s">
        <v>19</v>
      </c>
      <c r="H46" s="14">
        <v>121.0</v>
      </c>
      <c r="I46" s="3"/>
      <c r="J46" s="3"/>
    </row>
    <row r="47">
      <c r="A47" s="3"/>
      <c r="B47" s="3"/>
      <c r="C47" s="3"/>
      <c r="D47" s="3"/>
      <c r="E47" s="3"/>
      <c r="F47" s="3" t="s">
        <v>39</v>
      </c>
      <c r="G47" s="3" t="s">
        <v>19</v>
      </c>
      <c r="H47" s="14">
        <v>16.0</v>
      </c>
      <c r="I47" s="3"/>
      <c r="J47" s="3"/>
    </row>
    <row r="48">
      <c r="A48" s="3"/>
      <c r="B48" s="3"/>
      <c r="C48" s="3"/>
      <c r="D48" s="3"/>
      <c r="E48" s="3"/>
      <c r="F48" s="3"/>
      <c r="G48" s="3" t="s">
        <v>20</v>
      </c>
      <c r="H48" s="3"/>
      <c r="I48" s="3"/>
      <c r="J48" s="3"/>
    </row>
    <row r="49">
      <c r="A49" s="3"/>
      <c r="B49" s="3"/>
      <c r="C49" s="3"/>
      <c r="D49" s="3"/>
      <c r="E49" s="3"/>
      <c r="F49" s="3"/>
      <c r="G49" s="3" t="s">
        <v>21</v>
      </c>
      <c r="H49" s="14">
        <v>400.0</v>
      </c>
      <c r="I49" s="3" t="s">
        <v>43</v>
      </c>
      <c r="J49" s="3"/>
    </row>
    <row r="50">
      <c r="A50" s="3"/>
      <c r="B50" s="3"/>
      <c r="C50" s="3"/>
      <c r="D50" s="3"/>
      <c r="E50" s="3"/>
      <c r="F50" s="3"/>
      <c r="G50" s="3" t="s">
        <v>58</v>
      </c>
      <c r="H50" s="3"/>
      <c r="I50" s="3"/>
      <c r="J50" s="3"/>
    </row>
    <row r="51">
      <c r="A51" s="3"/>
      <c r="B51" s="3"/>
      <c r="C51" s="3"/>
      <c r="D51" s="3"/>
      <c r="E51" s="3"/>
      <c r="F51" s="3"/>
      <c r="G51" s="3" t="s">
        <v>68</v>
      </c>
      <c r="H51" s="3"/>
      <c r="I51" s="3"/>
      <c r="J51" s="3"/>
    </row>
    <row r="52">
      <c r="A52" s="3"/>
      <c r="B52" s="3"/>
      <c r="C52" s="3"/>
      <c r="D52" s="3"/>
      <c r="E52" s="3"/>
      <c r="F52" s="3"/>
      <c r="G52" s="3" t="s">
        <v>18</v>
      </c>
      <c r="H52" s="3">
        <f>SUM(H44:H51)</f>
        <v>1247</v>
      </c>
      <c r="I52" s="14" t="s">
        <v>95</v>
      </c>
      <c r="J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</row>
    <row r="57">
      <c r="A57" s="3" t="s">
        <v>69</v>
      </c>
      <c r="B57" s="3"/>
      <c r="C57" s="3"/>
      <c r="D57" s="3"/>
      <c r="E57" s="3"/>
      <c r="F57" s="3"/>
      <c r="G57" s="3"/>
      <c r="H57" s="3"/>
      <c r="I57" s="3"/>
      <c r="J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</row>
    <row r="59">
      <c r="A59" s="3" t="s">
        <v>70</v>
      </c>
      <c r="B59" s="3" t="s">
        <v>71</v>
      </c>
      <c r="C59" s="3"/>
      <c r="D59" s="3"/>
      <c r="E59" s="3"/>
      <c r="F59" s="3"/>
      <c r="G59" s="3"/>
      <c r="H59" s="3"/>
      <c r="I59" s="3"/>
      <c r="J59" s="3"/>
    </row>
    <row r="60">
      <c r="A60" s="3" t="s">
        <v>72</v>
      </c>
      <c r="B60" s="3" t="s">
        <v>73</v>
      </c>
      <c r="C60" s="14" t="s">
        <v>96</v>
      </c>
      <c r="D60" s="3"/>
      <c r="E60" s="3"/>
      <c r="F60" s="3"/>
      <c r="G60" s="3"/>
      <c r="H60" s="3"/>
      <c r="I60" s="3"/>
      <c r="J60" s="3"/>
    </row>
    <row r="61">
      <c r="A61" s="3" t="s">
        <v>74</v>
      </c>
      <c r="B61" s="3" t="s">
        <v>75</v>
      </c>
      <c r="C61" s="14" t="s">
        <v>97</v>
      </c>
      <c r="D61" s="3"/>
      <c r="E61" s="3"/>
      <c r="F61" s="3"/>
      <c r="G61" s="3"/>
      <c r="H61" s="3"/>
      <c r="I61" s="3"/>
      <c r="J61" s="3"/>
    </row>
    <row r="62">
      <c r="A62" s="3" t="s">
        <v>76</v>
      </c>
      <c r="B62" s="3" t="s">
        <v>77</v>
      </c>
      <c r="C62" s="14"/>
      <c r="D62" s="3"/>
      <c r="E62" s="3"/>
      <c r="F62" s="3"/>
      <c r="G62" s="3"/>
      <c r="H62" s="3"/>
      <c r="I62" s="3"/>
      <c r="J62" s="3"/>
    </row>
    <row r="63">
      <c r="A63" s="3" t="s">
        <v>76</v>
      </c>
      <c r="B63" s="3" t="s">
        <v>87</v>
      </c>
      <c r="C63" s="14" t="s">
        <v>98</v>
      </c>
      <c r="D63" s="3"/>
      <c r="E63" s="3"/>
      <c r="F63" s="3"/>
      <c r="G63" s="3"/>
      <c r="H63" s="3"/>
      <c r="I63" s="3"/>
      <c r="J63" s="3"/>
    </row>
    <row r="64">
      <c r="A64" s="14" t="s">
        <v>99</v>
      </c>
      <c r="B64" s="14" t="s">
        <v>100</v>
      </c>
      <c r="C64" s="14" t="s">
        <v>96</v>
      </c>
      <c r="D64" s="3"/>
      <c r="E64" s="3"/>
      <c r="F64" s="3"/>
      <c r="G64" s="3"/>
      <c r="H64" s="3"/>
      <c r="I64" s="3"/>
      <c r="J64" s="3"/>
    </row>
    <row r="65">
      <c r="A65" s="14" t="s">
        <v>101</v>
      </c>
      <c r="B65" s="14" t="s">
        <v>102</v>
      </c>
      <c r="C65" s="14" t="s">
        <v>103</v>
      </c>
      <c r="D65" s="3"/>
      <c r="E65" s="3"/>
      <c r="F65" s="3"/>
      <c r="G65" s="3"/>
      <c r="H65" s="3"/>
      <c r="I65" s="3"/>
      <c r="J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</row>
    <row r="71">
      <c r="M71" s="9" t="s">
        <v>104</v>
      </c>
    </row>
  </sheetData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71"/>
    <col customWidth="1" min="7" max="7" width="17.43"/>
  </cols>
  <sheetData>
    <row r="1">
      <c r="A1" s="12">
        <v>45986.0</v>
      </c>
      <c r="E1" s="18">
        <v>45819.0</v>
      </c>
    </row>
    <row r="2">
      <c r="C2" s="5" t="s">
        <v>28</v>
      </c>
      <c r="D2" s="5" t="s">
        <v>29</v>
      </c>
      <c r="E2" s="5" t="s">
        <v>30</v>
      </c>
      <c r="F2" s="5" t="s">
        <v>31</v>
      </c>
    </row>
    <row r="3">
      <c r="A3" s="3" t="s">
        <v>3</v>
      </c>
      <c r="B3" s="3" t="s">
        <v>44</v>
      </c>
      <c r="C3" s="14">
        <v>6577.0</v>
      </c>
      <c r="D3" s="3">
        <f t="shared" ref="D3:D11" si="1">(F3-C3)</f>
        <v>437</v>
      </c>
      <c r="E3" s="14">
        <v>1085.0</v>
      </c>
      <c r="F3" s="14">
        <v>7014.0</v>
      </c>
      <c r="G3" s="14">
        <v>400.0</v>
      </c>
      <c r="H3" s="3" t="s">
        <v>39</v>
      </c>
      <c r="I3" s="3"/>
      <c r="J3" s="3"/>
      <c r="L3" s="19"/>
    </row>
    <row r="4">
      <c r="A4" s="3" t="s">
        <v>1</v>
      </c>
      <c r="B4" s="3" t="s">
        <v>33</v>
      </c>
      <c r="C4" s="14">
        <v>6509.0</v>
      </c>
      <c r="D4" s="3">
        <f t="shared" si="1"/>
        <v>313</v>
      </c>
      <c r="E4" s="14">
        <v>204.0</v>
      </c>
      <c r="F4" s="14">
        <v>6822.0</v>
      </c>
      <c r="G4" s="14">
        <v>300.0</v>
      </c>
      <c r="H4" s="3" t="s">
        <v>7</v>
      </c>
      <c r="I4" s="14"/>
      <c r="J4" s="3"/>
      <c r="L4" s="13"/>
    </row>
    <row r="5">
      <c r="A5" s="3" t="s">
        <v>6</v>
      </c>
      <c r="B5" s="3" t="s">
        <v>35</v>
      </c>
      <c r="C5" s="14">
        <v>2695.0</v>
      </c>
      <c r="D5" s="3">
        <f t="shared" si="1"/>
        <v>298</v>
      </c>
      <c r="E5" s="14">
        <v>224.0</v>
      </c>
      <c r="F5" s="14">
        <v>2993.0</v>
      </c>
      <c r="G5" s="14">
        <v>300.0</v>
      </c>
      <c r="H5" s="3" t="s">
        <v>7</v>
      </c>
      <c r="I5" s="14"/>
      <c r="J5" s="14"/>
      <c r="L5" s="13">
        <v>207.58</v>
      </c>
      <c r="M5" s="9" t="s">
        <v>105</v>
      </c>
    </row>
    <row r="6">
      <c r="A6" s="3" t="s">
        <v>6</v>
      </c>
      <c r="B6" s="3" t="s">
        <v>36</v>
      </c>
      <c r="C6" s="14">
        <v>7893.0</v>
      </c>
      <c r="D6" s="3">
        <f t="shared" si="1"/>
        <v>162</v>
      </c>
      <c r="E6" s="14">
        <v>3388.0</v>
      </c>
      <c r="F6" s="14">
        <v>8055.0</v>
      </c>
      <c r="G6" s="14"/>
      <c r="H6" s="3" t="s">
        <v>40</v>
      </c>
      <c r="I6" s="3"/>
      <c r="J6" s="3"/>
      <c r="L6" s="13"/>
    </row>
    <row r="7">
      <c r="A7" s="3" t="s">
        <v>6</v>
      </c>
      <c r="B7" s="3" t="s">
        <v>45</v>
      </c>
      <c r="C7" s="14">
        <v>4469.0</v>
      </c>
      <c r="D7" s="3">
        <f t="shared" si="1"/>
        <v>356</v>
      </c>
      <c r="E7" s="14">
        <v>1096.0</v>
      </c>
      <c r="F7" s="14">
        <v>4825.0</v>
      </c>
      <c r="G7" s="14">
        <v>350.0</v>
      </c>
      <c r="H7" s="3" t="s">
        <v>39</v>
      </c>
      <c r="I7" s="3"/>
      <c r="J7" s="3"/>
      <c r="L7" s="19"/>
    </row>
    <row r="8">
      <c r="A8" s="3" t="s">
        <v>7</v>
      </c>
      <c r="B8" s="3" t="s">
        <v>46</v>
      </c>
      <c r="C8" s="14">
        <v>3039.0</v>
      </c>
      <c r="D8" s="14">
        <f t="shared" si="1"/>
        <v>629</v>
      </c>
      <c r="E8" s="14">
        <v>1242.0</v>
      </c>
      <c r="F8" s="14">
        <v>3668.0</v>
      </c>
      <c r="G8" s="14">
        <v>250.0</v>
      </c>
      <c r="H8" s="14" t="s">
        <v>7</v>
      </c>
      <c r="I8" s="3"/>
      <c r="J8" s="3"/>
      <c r="L8" s="20"/>
    </row>
    <row r="9">
      <c r="A9" s="3" t="s">
        <v>8</v>
      </c>
      <c r="B9" s="3"/>
      <c r="C9" s="14">
        <v>2877.0</v>
      </c>
      <c r="D9" s="3">
        <f t="shared" si="1"/>
        <v>-455</v>
      </c>
      <c r="E9" s="3">
        <v>0.0</v>
      </c>
      <c r="F9" s="14">
        <v>2422.0</v>
      </c>
      <c r="G9" s="3"/>
      <c r="H9" s="3" t="s">
        <v>7</v>
      </c>
      <c r="I9" s="3"/>
      <c r="J9" s="3"/>
      <c r="L9" s="19"/>
    </row>
    <row r="10">
      <c r="A10" s="3" t="s">
        <v>6</v>
      </c>
      <c r="B10" s="3" t="s">
        <v>37</v>
      </c>
      <c r="C10" s="14">
        <v>4444.0</v>
      </c>
      <c r="D10" s="14">
        <f t="shared" si="1"/>
        <v>114</v>
      </c>
      <c r="E10" s="14">
        <v>3062.0</v>
      </c>
      <c r="F10" s="14">
        <v>4558.0</v>
      </c>
      <c r="G10" s="3"/>
      <c r="H10" s="14" t="s">
        <v>7</v>
      </c>
      <c r="I10" s="3"/>
      <c r="J10" s="3"/>
      <c r="L10" s="13"/>
    </row>
    <row r="11">
      <c r="A11" s="14" t="s">
        <v>93</v>
      </c>
      <c r="B11" s="14" t="s">
        <v>4</v>
      </c>
      <c r="C11" s="14">
        <v>3497.0</v>
      </c>
      <c r="D11" s="14">
        <f t="shared" si="1"/>
        <v>415</v>
      </c>
      <c r="E11" s="14">
        <v>591.0</v>
      </c>
      <c r="F11" s="14">
        <v>3912.0</v>
      </c>
      <c r="G11" s="14">
        <v>400.0</v>
      </c>
      <c r="H11" s="14" t="s">
        <v>39</v>
      </c>
      <c r="I11" s="3"/>
      <c r="J11" s="3"/>
      <c r="L11" s="19"/>
    </row>
    <row r="12">
      <c r="A12" s="3"/>
      <c r="B12" s="3">
        <f>(D12/C12)</f>
        <v>0.05402380952</v>
      </c>
      <c r="C12" s="3">
        <f t="shared" ref="C12:F12" si="2">SUM(C3:C11)</f>
        <v>42000</v>
      </c>
      <c r="D12" s="3">
        <f t="shared" si="2"/>
        <v>2269</v>
      </c>
      <c r="E12" s="3">
        <f t="shared" si="2"/>
        <v>10892</v>
      </c>
      <c r="F12" s="3">
        <f t="shared" si="2"/>
        <v>44269</v>
      </c>
      <c r="G12" s="14">
        <v>2000.0</v>
      </c>
      <c r="H12" s="3"/>
      <c r="I12" s="3"/>
      <c r="J12" s="3"/>
      <c r="L12" s="19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</row>
    <row r="14">
      <c r="A14" s="3" t="s">
        <v>11</v>
      </c>
      <c r="B14" s="3" t="s">
        <v>49</v>
      </c>
      <c r="C14" s="3">
        <v>9000.0</v>
      </c>
      <c r="D14" s="3">
        <f t="shared" ref="D14:D17" si="3">(F14-C14)</f>
        <v>-2833</v>
      </c>
      <c r="E14" s="14">
        <v>2286.0</v>
      </c>
      <c r="F14" s="14">
        <v>6167.0</v>
      </c>
      <c r="G14" s="14">
        <v>3814.58</v>
      </c>
      <c r="H14" s="3"/>
      <c r="I14" s="3"/>
      <c r="J14" s="3"/>
    </row>
    <row r="15">
      <c r="A15" s="3" t="s">
        <v>9</v>
      </c>
      <c r="B15" s="3" t="s">
        <v>50</v>
      </c>
      <c r="C15" s="3">
        <v>8000.0</v>
      </c>
      <c r="D15" s="3">
        <f t="shared" si="3"/>
        <v>-1368</v>
      </c>
      <c r="E15" s="14">
        <v>1071.0</v>
      </c>
      <c r="F15" s="14">
        <v>6632.0</v>
      </c>
      <c r="G15" s="14">
        <v>5497.08</v>
      </c>
      <c r="H15" s="3"/>
      <c r="I15" s="3"/>
      <c r="J15" s="3"/>
    </row>
    <row r="16">
      <c r="A16" s="3" t="s">
        <v>10</v>
      </c>
      <c r="B16" s="3" t="s">
        <v>64</v>
      </c>
      <c r="C16" s="3">
        <v>2000.0</v>
      </c>
      <c r="D16" s="3">
        <f t="shared" si="3"/>
        <v>1053</v>
      </c>
      <c r="E16" s="14">
        <v>939.0</v>
      </c>
      <c r="F16" s="14">
        <v>3053.0</v>
      </c>
      <c r="G16" s="14">
        <v>2062.79</v>
      </c>
      <c r="H16" s="3"/>
      <c r="I16" s="3"/>
      <c r="J16" s="3"/>
    </row>
    <row r="17">
      <c r="A17" s="3" t="s">
        <v>11</v>
      </c>
      <c r="B17" s="3" t="s">
        <v>65</v>
      </c>
      <c r="C17" s="3">
        <v>2000.0</v>
      </c>
      <c r="D17" s="3">
        <f t="shared" si="3"/>
        <v>727</v>
      </c>
      <c r="E17" s="14">
        <v>593.0</v>
      </c>
      <c r="F17" s="14">
        <v>2727.0</v>
      </c>
      <c r="G17" s="14">
        <v>2096.95</v>
      </c>
      <c r="H17" s="3"/>
      <c r="I17" s="3"/>
      <c r="J17" s="3"/>
    </row>
    <row r="18">
      <c r="A18" s="3"/>
      <c r="B18" s="3">
        <f>(D18/C18)</f>
        <v>-0.1152857143</v>
      </c>
      <c r="C18" s="3">
        <f t="shared" ref="C18:F18" si="4">SUM(C14:C17)</f>
        <v>21000</v>
      </c>
      <c r="D18" s="3">
        <f t="shared" si="4"/>
        <v>-2421</v>
      </c>
      <c r="E18" s="3">
        <f t="shared" si="4"/>
        <v>4889</v>
      </c>
      <c r="F18" s="3">
        <f t="shared" si="4"/>
        <v>18579</v>
      </c>
      <c r="G18" s="3"/>
      <c r="H18" s="3"/>
      <c r="I18" s="3"/>
      <c r="J18" s="3"/>
    </row>
    <row r="19">
      <c r="A19" s="3"/>
      <c r="B19" s="3"/>
      <c r="C19" s="3"/>
      <c r="D19" s="3"/>
      <c r="E19" s="3"/>
      <c r="F19" s="3"/>
      <c r="G19" s="14">
        <f>SUM(G13:G17)</f>
        <v>13471.4</v>
      </c>
      <c r="H19" s="14" t="s">
        <v>106</v>
      </c>
      <c r="I19" s="3"/>
      <c r="J19" s="3"/>
      <c r="L19" s="9" t="s">
        <v>107</v>
      </c>
    </row>
    <row r="20">
      <c r="A20" s="3"/>
      <c r="B20" s="3"/>
      <c r="C20" s="3"/>
      <c r="D20" s="3"/>
      <c r="E20" s="14"/>
      <c r="F20" s="14"/>
      <c r="G20" s="14"/>
      <c r="H20" s="3"/>
      <c r="I20" s="3"/>
      <c r="J20" s="3"/>
    </row>
    <row r="21">
      <c r="A21" s="3" t="s">
        <v>12</v>
      </c>
      <c r="B21" s="3" t="s">
        <v>51</v>
      </c>
      <c r="C21" s="3">
        <v>9000.0</v>
      </c>
      <c r="D21" s="3">
        <f t="shared" ref="D21:D25" si="5">(F21-C21)</f>
        <v>388</v>
      </c>
      <c r="E21" s="14">
        <v>1039.0</v>
      </c>
      <c r="F21" s="14">
        <v>9388.0</v>
      </c>
      <c r="G21" s="14">
        <v>400.0</v>
      </c>
      <c r="H21" s="3"/>
      <c r="I21" s="3"/>
      <c r="J21" s="3"/>
    </row>
    <row r="22">
      <c r="A22" s="3" t="s">
        <v>12</v>
      </c>
      <c r="B22" s="3" t="s">
        <v>52</v>
      </c>
      <c r="C22" s="14">
        <v>12500.0</v>
      </c>
      <c r="D22" s="14">
        <f t="shared" si="5"/>
        <v>180</v>
      </c>
      <c r="E22" s="14">
        <v>6027.0</v>
      </c>
      <c r="F22" s="14">
        <v>12680.0</v>
      </c>
      <c r="G22" s="14">
        <v>200.0</v>
      </c>
      <c r="H22" s="3"/>
      <c r="I22" s="3"/>
      <c r="J22" s="3"/>
      <c r="L22" s="9">
        <v>2561.1</v>
      </c>
      <c r="M22" s="9" t="s">
        <v>105</v>
      </c>
    </row>
    <row r="23">
      <c r="A23" s="3" t="s">
        <v>12</v>
      </c>
      <c r="B23" s="3" t="s">
        <v>53</v>
      </c>
      <c r="C23" s="14">
        <v>10500.0</v>
      </c>
      <c r="D23" s="14">
        <f t="shared" si="5"/>
        <v>287</v>
      </c>
      <c r="E23" s="14">
        <v>6378.0</v>
      </c>
      <c r="F23" s="14">
        <v>10787.0</v>
      </c>
      <c r="G23" s="14">
        <v>300.0</v>
      </c>
      <c r="H23" s="14"/>
      <c r="I23" s="3"/>
      <c r="J23" s="3"/>
      <c r="L23" s="9">
        <v>2863.18</v>
      </c>
      <c r="M23" s="9" t="s">
        <v>105</v>
      </c>
    </row>
    <row r="24">
      <c r="A24" s="3" t="s">
        <v>54</v>
      </c>
      <c r="B24" s="3" t="s">
        <v>55</v>
      </c>
      <c r="C24" s="3">
        <v>7000.0</v>
      </c>
      <c r="D24" s="3">
        <f t="shared" si="5"/>
        <v>479</v>
      </c>
      <c r="E24" s="14">
        <v>304.0</v>
      </c>
      <c r="F24" s="14">
        <v>7479.0</v>
      </c>
      <c r="G24" s="14">
        <v>450.0</v>
      </c>
      <c r="H24" s="3"/>
      <c r="I24" s="3"/>
      <c r="J24" s="3"/>
      <c r="L24" s="1">
        <v>442.94</v>
      </c>
      <c r="M24" s="9" t="s">
        <v>105</v>
      </c>
    </row>
    <row r="25">
      <c r="A25" s="3" t="s">
        <v>12</v>
      </c>
      <c r="B25" s="3" t="s">
        <v>56</v>
      </c>
      <c r="C25" s="14">
        <v>1000.0</v>
      </c>
      <c r="D25" s="3">
        <f t="shared" si="5"/>
        <v>287</v>
      </c>
      <c r="E25" s="14">
        <v>233.0</v>
      </c>
      <c r="F25" s="14">
        <v>1287.0</v>
      </c>
      <c r="G25" s="9">
        <v>250.0</v>
      </c>
      <c r="H25" s="14" t="s">
        <v>108</v>
      </c>
      <c r="I25" s="3"/>
      <c r="J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</row>
    <row r="27">
      <c r="A27" s="3"/>
      <c r="B27" s="3">
        <f>(D27/C27)</f>
        <v>0.040525</v>
      </c>
      <c r="C27" s="3">
        <f t="shared" ref="C27:D27" si="6">SUM(C21:C26)</f>
        <v>40000</v>
      </c>
      <c r="D27" s="3">
        <f t="shared" si="6"/>
        <v>1621</v>
      </c>
      <c r="E27" s="3">
        <f t="shared" ref="E27:G27" si="7">SUM(E21:E25)</f>
        <v>13981</v>
      </c>
      <c r="F27" s="3">
        <f t="shared" si="7"/>
        <v>41621</v>
      </c>
      <c r="G27" s="3">
        <f t="shared" si="7"/>
        <v>1600</v>
      </c>
      <c r="H27" s="3">
        <f>(G27*0.2)</f>
        <v>320</v>
      </c>
      <c r="I27" s="3"/>
      <c r="J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</row>
    <row r="29">
      <c r="A29" s="14" t="s">
        <v>109</v>
      </c>
      <c r="B29" s="14" t="s">
        <v>110</v>
      </c>
      <c r="C29" s="3">
        <v>9750.0</v>
      </c>
      <c r="D29" s="3">
        <f t="shared" ref="D29:D30" si="8">(F29-C29)</f>
        <v>366</v>
      </c>
      <c r="E29" s="14">
        <v>1046.0</v>
      </c>
      <c r="F29" s="14">
        <v>10116.0</v>
      </c>
      <c r="G29" s="14">
        <v>350.0</v>
      </c>
      <c r="H29" s="3"/>
      <c r="I29" s="3"/>
      <c r="J29" s="3"/>
    </row>
    <row r="30">
      <c r="A30" s="14" t="s">
        <v>109</v>
      </c>
      <c r="B30" s="14" t="s">
        <v>111</v>
      </c>
      <c r="C30" s="3">
        <v>10250.0</v>
      </c>
      <c r="D30" s="3">
        <f t="shared" si="8"/>
        <v>161</v>
      </c>
      <c r="E30" s="14">
        <v>3357.0</v>
      </c>
      <c r="F30" s="14">
        <v>10411.0</v>
      </c>
      <c r="G30" s="14">
        <v>150.0</v>
      </c>
      <c r="H30" s="3"/>
      <c r="I30" s="3"/>
      <c r="J30" s="3" t="s">
        <v>86</v>
      </c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</row>
    <row r="32">
      <c r="A32" s="3"/>
      <c r="B32" s="3">
        <f>(D32/C32)</f>
        <v>0.02635</v>
      </c>
      <c r="C32" s="3">
        <f>SUM(C29:C31)</f>
        <v>20000</v>
      </c>
      <c r="D32" s="3">
        <f>(D30+D29)</f>
        <v>527</v>
      </c>
      <c r="E32" s="3">
        <f t="shared" ref="E32:F32" si="9">SUM(E29:E31)</f>
        <v>4403</v>
      </c>
      <c r="F32" s="3">
        <f t="shared" si="9"/>
        <v>20527</v>
      </c>
      <c r="G32" s="3">
        <f>(G30+G29)</f>
        <v>500</v>
      </c>
      <c r="H32" s="3">
        <f>(G32*0.2)</f>
        <v>100</v>
      </c>
      <c r="I32" s="3"/>
      <c r="J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</row>
    <row r="35">
      <c r="A35" s="3" t="s">
        <v>14</v>
      </c>
      <c r="B35" s="3" t="s">
        <v>4</v>
      </c>
      <c r="C35" s="3">
        <v>5000.0</v>
      </c>
      <c r="D35" s="3">
        <f>(F35-C35)</f>
        <v>282</v>
      </c>
      <c r="E35" s="14">
        <v>0.0</v>
      </c>
      <c r="F35" s="14">
        <v>5282.0</v>
      </c>
      <c r="G35" s="14">
        <v>300.0</v>
      </c>
      <c r="H35" s="14">
        <f>(G35*0.2)</f>
        <v>60</v>
      </c>
      <c r="I35" s="3"/>
      <c r="J35" s="3"/>
    </row>
    <row r="36">
      <c r="A36" s="3"/>
      <c r="B36" s="3">
        <f>(D35/C35)</f>
        <v>0.0564</v>
      </c>
      <c r="C36" s="3"/>
      <c r="D36" s="3"/>
      <c r="E36" s="3"/>
      <c r="F36" s="3"/>
      <c r="G36" s="3"/>
      <c r="H36" s="3"/>
      <c r="I36" s="3"/>
      <c r="J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</row>
    <row r="38">
      <c r="A38" s="3" t="s">
        <v>15</v>
      </c>
      <c r="B38" s="3" t="s">
        <v>5</v>
      </c>
      <c r="C38" s="3">
        <v>5000.0</v>
      </c>
      <c r="D38" s="3">
        <f>(F38-C38)</f>
        <v>70</v>
      </c>
      <c r="E38" s="14">
        <v>2428.0</v>
      </c>
      <c r="F38" s="14">
        <v>5070.0</v>
      </c>
      <c r="G38" s="14"/>
      <c r="H38" s="14"/>
      <c r="I38" s="3"/>
      <c r="J38" s="3"/>
    </row>
    <row r="39">
      <c r="A39" s="3"/>
      <c r="B39" s="3">
        <f>(D38/C38)</f>
        <v>0.014</v>
      </c>
      <c r="C39" s="3"/>
      <c r="D39" s="3"/>
      <c r="E39" s="3"/>
      <c r="F39" s="3"/>
      <c r="G39" s="3"/>
      <c r="H39" s="3"/>
      <c r="I39" s="3"/>
      <c r="J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</row>
    <row r="42">
      <c r="A42" s="3"/>
      <c r="B42" s="3">
        <f>(D42/C42)</f>
        <v>0.01765413534</v>
      </c>
      <c r="C42" s="3">
        <f t="shared" ref="C42:E42" si="10">(C38+C35+C32+C27+C18+C12)</f>
        <v>133000</v>
      </c>
      <c r="D42" s="3">
        <f t="shared" si="10"/>
        <v>2348</v>
      </c>
      <c r="E42" s="3">
        <f t="shared" si="10"/>
        <v>36593</v>
      </c>
      <c r="F42" s="3"/>
      <c r="G42" s="3"/>
      <c r="H42" s="3"/>
      <c r="I42" s="3"/>
      <c r="J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</row>
    <row r="44">
      <c r="A44" s="3"/>
      <c r="B44" s="3"/>
      <c r="C44" s="3"/>
      <c r="D44" s="3"/>
      <c r="E44" s="3"/>
      <c r="F44" s="3"/>
      <c r="G44" s="3" t="s">
        <v>66</v>
      </c>
      <c r="H44" s="14">
        <v>2000.0</v>
      </c>
      <c r="I44" s="3"/>
      <c r="J44" s="3"/>
    </row>
    <row r="45">
      <c r="A45" s="3"/>
      <c r="B45" s="3"/>
      <c r="C45" s="3"/>
      <c r="D45" s="3"/>
      <c r="E45" s="3"/>
      <c r="F45" s="3"/>
      <c r="G45" s="3" t="s">
        <v>67</v>
      </c>
      <c r="H45" s="14">
        <v>480.0</v>
      </c>
      <c r="I45" s="3"/>
      <c r="J45" s="3"/>
    </row>
    <row r="46">
      <c r="A46" s="3"/>
      <c r="B46" s="3"/>
      <c r="C46" s="3"/>
      <c r="D46" s="3"/>
      <c r="E46" s="3"/>
      <c r="F46" s="3" t="s">
        <v>27</v>
      </c>
      <c r="G46" s="3" t="s">
        <v>19</v>
      </c>
      <c r="H46" s="14">
        <v>440.0</v>
      </c>
      <c r="I46" s="3"/>
      <c r="J46" s="3"/>
    </row>
    <row r="47">
      <c r="A47" s="3"/>
      <c r="B47" s="3"/>
      <c r="C47" s="3"/>
      <c r="D47" s="3"/>
      <c r="E47" s="3"/>
      <c r="F47" s="3" t="s">
        <v>39</v>
      </c>
      <c r="G47" s="3" t="s">
        <v>19</v>
      </c>
      <c r="H47" s="9">
        <v>16.0</v>
      </c>
      <c r="I47" s="3"/>
      <c r="J47" s="3"/>
    </row>
    <row r="48">
      <c r="A48" s="3"/>
      <c r="B48" s="3"/>
      <c r="C48" s="3"/>
      <c r="D48" s="3"/>
      <c r="E48" s="3"/>
      <c r="F48" s="3"/>
      <c r="G48" s="3" t="s">
        <v>20</v>
      </c>
      <c r="H48" s="14" t="s">
        <v>112</v>
      </c>
      <c r="I48" s="3"/>
      <c r="J48" s="3"/>
    </row>
    <row r="49">
      <c r="A49" s="3"/>
      <c r="B49" s="3"/>
      <c r="C49" s="3"/>
      <c r="D49" s="3"/>
      <c r="E49" s="3"/>
      <c r="F49" s="3"/>
      <c r="G49" s="3" t="s">
        <v>21</v>
      </c>
      <c r="H49" s="14">
        <v>177.0</v>
      </c>
      <c r="I49" s="3" t="s">
        <v>43</v>
      </c>
      <c r="J49" s="3"/>
    </row>
    <row r="50">
      <c r="A50" s="3"/>
      <c r="B50" s="3"/>
      <c r="C50" s="3"/>
      <c r="D50" s="3"/>
      <c r="E50" s="3"/>
      <c r="F50" s="3"/>
      <c r="G50" s="3" t="s">
        <v>58</v>
      </c>
      <c r="H50" s="14" t="s">
        <v>112</v>
      </c>
      <c r="I50" s="3"/>
      <c r="J50" s="3"/>
    </row>
    <row r="51">
      <c r="A51" s="3"/>
      <c r="B51" s="3"/>
      <c r="C51" s="3"/>
      <c r="D51" s="3"/>
      <c r="E51" s="3"/>
      <c r="F51" s="3"/>
      <c r="G51" s="3" t="s">
        <v>68</v>
      </c>
      <c r="H51" s="3"/>
      <c r="I51" s="3"/>
      <c r="J51" s="3"/>
    </row>
    <row r="52">
      <c r="A52" s="3"/>
      <c r="B52" s="3"/>
      <c r="C52" s="3"/>
      <c r="D52" s="3"/>
      <c r="E52" s="3"/>
      <c r="F52" s="3"/>
      <c r="G52" s="3" t="s">
        <v>18</v>
      </c>
      <c r="H52" s="3">
        <f>SUM(H44:H51)</f>
        <v>3113</v>
      </c>
      <c r="I52" s="14" t="s">
        <v>113</v>
      </c>
      <c r="J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</row>
    <row r="54">
      <c r="A54" s="3"/>
      <c r="B54" s="3"/>
      <c r="C54" s="3"/>
      <c r="D54" s="3"/>
      <c r="E54" s="3"/>
      <c r="F54" s="3"/>
      <c r="G54" s="3"/>
      <c r="H54" s="14" t="s">
        <v>114</v>
      </c>
      <c r="I54" s="3"/>
      <c r="J54" s="3"/>
    </row>
    <row r="55">
      <c r="A55" s="3"/>
      <c r="B55" s="3"/>
      <c r="C55" s="3"/>
      <c r="D55" s="3"/>
      <c r="E55" s="3"/>
      <c r="F55" s="3"/>
      <c r="G55" s="3"/>
      <c r="H55" s="14" t="s">
        <v>115</v>
      </c>
      <c r="I55" s="3"/>
      <c r="J55" s="3"/>
    </row>
    <row r="56">
      <c r="A56" s="3"/>
      <c r="B56" s="3"/>
      <c r="C56" s="3"/>
      <c r="D56" s="3"/>
      <c r="E56" s="3"/>
      <c r="F56" s="3"/>
      <c r="G56" s="3"/>
      <c r="H56" s="14" t="s">
        <v>116</v>
      </c>
      <c r="I56" s="3"/>
      <c r="J56" s="3"/>
    </row>
    <row r="57">
      <c r="A57" s="3" t="s">
        <v>69</v>
      </c>
      <c r="B57" s="3"/>
      <c r="C57" s="3"/>
      <c r="D57" s="3"/>
      <c r="E57" s="3"/>
      <c r="F57" s="3"/>
      <c r="G57" s="3"/>
      <c r="H57" s="3"/>
      <c r="I57" s="3"/>
      <c r="J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</row>
    <row r="59">
      <c r="A59" s="3" t="s">
        <v>70</v>
      </c>
      <c r="B59" s="3" t="s">
        <v>71</v>
      </c>
      <c r="C59" s="14">
        <v>120.0</v>
      </c>
      <c r="D59" s="3"/>
      <c r="E59" s="3"/>
      <c r="F59" s="3"/>
      <c r="G59" s="3"/>
      <c r="H59" s="3"/>
      <c r="I59" s="3"/>
      <c r="J59" s="3"/>
    </row>
    <row r="60">
      <c r="A60" s="3" t="s">
        <v>72</v>
      </c>
      <c r="B60" s="3" t="s">
        <v>73</v>
      </c>
      <c r="C60" s="3"/>
      <c r="D60" s="3"/>
      <c r="E60" s="3"/>
      <c r="F60" s="3"/>
      <c r="G60" s="3"/>
      <c r="H60" s="3"/>
      <c r="I60" s="3"/>
      <c r="J60" s="3"/>
    </row>
    <row r="61">
      <c r="A61" s="3" t="s">
        <v>74</v>
      </c>
      <c r="B61" s="3" t="s">
        <v>75</v>
      </c>
      <c r="C61" s="3"/>
      <c r="D61" s="3"/>
      <c r="E61" s="3"/>
      <c r="F61" s="3"/>
      <c r="G61" s="3"/>
      <c r="H61" s="3"/>
      <c r="I61" s="3"/>
      <c r="J61" s="3"/>
    </row>
    <row r="62">
      <c r="A62" s="3" t="s">
        <v>76</v>
      </c>
      <c r="B62" s="3" t="s">
        <v>77</v>
      </c>
      <c r="C62" s="3"/>
      <c r="D62" s="3"/>
      <c r="E62" s="3"/>
      <c r="F62" s="3"/>
      <c r="G62" s="3"/>
      <c r="H62" s="3"/>
      <c r="I62" s="3"/>
      <c r="J62" s="3"/>
    </row>
    <row r="63">
      <c r="A63" s="3" t="s">
        <v>76</v>
      </c>
      <c r="B63" s="3" t="s">
        <v>87</v>
      </c>
      <c r="C63" s="3"/>
      <c r="D63" s="3"/>
      <c r="E63" s="3"/>
      <c r="F63" s="3"/>
      <c r="G63" s="3"/>
      <c r="H63" s="3"/>
      <c r="I63" s="3"/>
      <c r="J63" s="3"/>
    </row>
    <row r="64">
      <c r="A64" s="14" t="s">
        <v>117</v>
      </c>
      <c r="B64" s="14" t="s">
        <v>102</v>
      </c>
      <c r="C64" s="14">
        <v>230.0</v>
      </c>
      <c r="D64" s="3"/>
      <c r="E64" s="3"/>
      <c r="F64" s="3"/>
      <c r="G64" s="3"/>
      <c r="H64" s="3"/>
      <c r="I64" s="3"/>
      <c r="J64" s="3"/>
    </row>
    <row r="65">
      <c r="A65" s="14" t="s">
        <v>118</v>
      </c>
      <c r="B65" s="14" t="s">
        <v>100</v>
      </c>
      <c r="C65" s="14">
        <v>200.0</v>
      </c>
      <c r="D65" s="3"/>
      <c r="E65" s="3"/>
      <c r="F65" s="3"/>
      <c r="G65" s="3"/>
      <c r="H65" s="3"/>
      <c r="I65" s="3"/>
      <c r="J65" s="3"/>
    </row>
    <row r="66">
      <c r="A66" s="14" t="s">
        <v>119</v>
      </c>
      <c r="B66" s="14" t="s">
        <v>120</v>
      </c>
      <c r="C66" s="14">
        <v>200.0</v>
      </c>
      <c r="D66" s="3"/>
      <c r="E66" s="3"/>
      <c r="F66" s="3"/>
      <c r="G66" s="3"/>
      <c r="H66" s="3"/>
      <c r="I66" s="3"/>
      <c r="J66" s="3"/>
    </row>
    <row r="67">
      <c r="A67" s="14" t="s">
        <v>119</v>
      </c>
      <c r="B67" s="14" t="s">
        <v>121</v>
      </c>
      <c r="C67" s="14">
        <v>150.0</v>
      </c>
      <c r="D67" s="3"/>
      <c r="E67" s="3"/>
      <c r="F67" s="3"/>
      <c r="G67" s="3"/>
      <c r="H67" s="3"/>
      <c r="I67" s="3"/>
      <c r="J67" s="3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</row>
  </sheetData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14.57"/>
    <col customWidth="1" min="4" max="4" width="26.86"/>
    <col customWidth="1" min="14" max="14" width="22.86"/>
  </cols>
  <sheetData>
    <row r="1">
      <c r="A1" s="22" t="s">
        <v>122</v>
      </c>
      <c r="B1" s="23"/>
      <c r="C1" s="23"/>
      <c r="D1" s="24"/>
      <c r="E1" s="9"/>
      <c r="F1" s="9"/>
      <c r="G1" s="9"/>
      <c r="H1" s="9"/>
      <c r="I1" s="9"/>
      <c r="L1" s="9"/>
      <c r="M1" s="9"/>
      <c r="N1" s="9"/>
      <c r="O1" s="9"/>
      <c r="P1" s="9"/>
    </row>
    <row r="2">
      <c r="A2" s="25" t="s">
        <v>123</v>
      </c>
      <c r="B2" s="25" t="s">
        <v>124</v>
      </c>
      <c r="C2" s="25" t="s">
        <v>125</v>
      </c>
      <c r="D2" s="25" t="s">
        <v>126</v>
      </c>
      <c r="E2" s="9" t="s">
        <v>127</v>
      </c>
      <c r="F2" s="9" t="s">
        <v>128</v>
      </c>
      <c r="G2" s="9" t="s">
        <v>129</v>
      </c>
      <c r="H2" s="9"/>
      <c r="I2" s="9" t="s">
        <v>21</v>
      </c>
      <c r="L2" s="9" t="s">
        <v>127</v>
      </c>
      <c r="M2" s="9" t="s">
        <v>128</v>
      </c>
      <c r="N2" s="9" t="s">
        <v>129</v>
      </c>
      <c r="O2" s="9"/>
      <c r="P2" s="9" t="s">
        <v>130</v>
      </c>
    </row>
    <row r="3">
      <c r="A3" s="26" t="s">
        <v>131</v>
      </c>
      <c r="B3" s="27" t="s">
        <v>132</v>
      </c>
      <c r="C3" s="28">
        <v>502870.0</v>
      </c>
      <c r="D3" s="14">
        <v>400.0</v>
      </c>
      <c r="E3" s="9" t="s">
        <v>133</v>
      </c>
      <c r="G3" s="19"/>
      <c r="H3" s="19"/>
      <c r="I3" s="3" t="s">
        <v>1</v>
      </c>
      <c r="J3" s="3" t="s">
        <v>33</v>
      </c>
      <c r="K3" s="29">
        <v>300.0</v>
      </c>
      <c r="O3" s="19"/>
      <c r="P3" s="3" t="s">
        <v>12</v>
      </c>
      <c r="Q3" s="3" t="s">
        <v>56</v>
      </c>
      <c r="R3" s="30">
        <v>250.0</v>
      </c>
      <c r="S3" s="29" t="s">
        <v>108</v>
      </c>
      <c r="T3" s="9" t="s">
        <v>134</v>
      </c>
    </row>
    <row r="4">
      <c r="A4" s="3" t="s">
        <v>6</v>
      </c>
      <c r="B4" s="27" t="s">
        <v>135</v>
      </c>
      <c r="C4" s="28">
        <v>502871.0</v>
      </c>
      <c r="D4" s="14">
        <v>350.0</v>
      </c>
      <c r="E4" s="9" t="s">
        <v>133</v>
      </c>
      <c r="G4" s="19"/>
      <c r="H4" s="19"/>
      <c r="I4" s="3" t="s">
        <v>6</v>
      </c>
      <c r="J4" s="3" t="s">
        <v>35</v>
      </c>
      <c r="K4" s="29">
        <v>300.0</v>
      </c>
      <c r="L4" s="9" t="s">
        <v>136</v>
      </c>
      <c r="M4" s="9" t="s">
        <v>136</v>
      </c>
      <c r="Q4" s="9" t="s">
        <v>137</v>
      </c>
      <c r="R4" s="31">
        <v>238.0</v>
      </c>
      <c r="S4" s="9" t="s">
        <v>138</v>
      </c>
    </row>
    <row r="5">
      <c r="A5" s="14" t="s">
        <v>93</v>
      </c>
      <c r="B5" s="27" t="s">
        <v>139</v>
      </c>
      <c r="C5" s="28">
        <v>502749.0</v>
      </c>
      <c r="D5" s="14">
        <v>400.0</v>
      </c>
      <c r="E5" s="9" t="s">
        <v>133</v>
      </c>
      <c r="G5" s="19"/>
      <c r="H5" s="19"/>
      <c r="I5" s="3" t="s">
        <v>7</v>
      </c>
      <c r="J5" s="3" t="s">
        <v>46</v>
      </c>
      <c r="K5" s="29">
        <v>250.0</v>
      </c>
      <c r="L5" s="9" t="s">
        <v>136</v>
      </c>
    </row>
    <row r="6">
      <c r="A6" s="21"/>
      <c r="B6" s="21"/>
      <c r="C6" s="21"/>
      <c r="D6" s="21"/>
      <c r="E6" s="9" t="s">
        <v>133</v>
      </c>
    </row>
    <row r="7">
      <c r="A7" s="26" t="s">
        <v>140</v>
      </c>
      <c r="B7" s="27" t="s">
        <v>141</v>
      </c>
      <c r="C7" s="28">
        <v>502469.0</v>
      </c>
      <c r="D7" s="14">
        <v>1799.0</v>
      </c>
      <c r="E7" s="9" t="s">
        <v>133</v>
      </c>
      <c r="G7" s="13"/>
      <c r="H7" s="19"/>
      <c r="I7" s="3" t="s">
        <v>9</v>
      </c>
      <c r="J7" s="3" t="s">
        <v>50</v>
      </c>
      <c r="K7" s="29">
        <v>5497.08</v>
      </c>
      <c r="L7" s="9" t="s">
        <v>136</v>
      </c>
    </row>
    <row r="8">
      <c r="A8" s="3"/>
      <c r="B8" s="3"/>
      <c r="C8" s="3"/>
      <c r="D8" s="3"/>
      <c r="E8" s="9" t="s">
        <v>133</v>
      </c>
      <c r="G8" s="19"/>
      <c r="H8" s="19"/>
      <c r="I8" s="3" t="s">
        <v>10</v>
      </c>
      <c r="J8" s="3" t="s">
        <v>64</v>
      </c>
      <c r="K8" s="29">
        <v>2062.79</v>
      </c>
      <c r="L8" s="9" t="s">
        <v>136</v>
      </c>
      <c r="M8" s="9" t="s">
        <v>136</v>
      </c>
    </row>
    <row r="9">
      <c r="A9" s="26" t="s">
        <v>142</v>
      </c>
      <c r="B9" s="27" t="s">
        <v>143</v>
      </c>
      <c r="C9" s="28">
        <v>502627.0</v>
      </c>
      <c r="D9" s="14">
        <v>400.0</v>
      </c>
      <c r="E9" s="9" t="s">
        <v>133</v>
      </c>
      <c r="G9" s="19"/>
      <c r="H9" s="19"/>
      <c r="I9" s="3" t="s">
        <v>11</v>
      </c>
      <c r="J9" s="3" t="s">
        <v>65</v>
      </c>
      <c r="K9" s="29">
        <v>2096.95</v>
      </c>
      <c r="L9" s="9" t="s">
        <v>136</v>
      </c>
      <c r="M9" s="9" t="s">
        <v>136</v>
      </c>
    </row>
    <row r="10">
      <c r="A10" s="21"/>
      <c r="B10" s="21"/>
      <c r="C10" s="21"/>
      <c r="D10" s="21"/>
      <c r="E10" s="9" t="s">
        <v>133</v>
      </c>
    </row>
    <row r="11">
      <c r="A11" s="14" t="s">
        <v>144</v>
      </c>
      <c r="B11" s="26" t="s">
        <v>145</v>
      </c>
      <c r="C11" s="28">
        <v>505250.0</v>
      </c>
      <c r="D11" s="14">
        <v>450.0</v>
      </c>
      <c r="E11" s="9" t="s">
        <v>133</v>
      </c>
      <c r="G11" s="19"/>
      <c r="H11" s="19"/>
      <c r="I11" s="3" t="s">
        <v>12</v>
      </c>
      <c r="J11" s="3" t="s">
        <v>52</v>
      </c>
      <c r="K11" s="29">
        <v>200.0</v>
      </c>
      <c r="L11" s="9" t="s">
        <v>134</v>
      </c>
      <c r="M11" s="9" t="s">
        <v>136</v>
      </c>
    </row>
    <row r="12">
      <c r="A12" s="21"/>
      <c r="B12" s="21"/>
      <c r="C12" s="21"/>
      <c r="D12" s="21"/>
      <c r="E12" s="9" t="s">
        <v>133</v>
      </c>
      <c r="G12" s="19"/>
      <c r="H12" s="19"/>
      <c r="I12" s="3" t="s">
        <v>12</v>
      </c>
      <c r="J12" s="3" t="s">
        <v>53</v>
      </c>
      <c r="K12" s="29">
        <v>300.0</v>
      </c>
      <c r="L12" s="9" t="s">
        <v>134</v>
      </c>
      <c r="M12" s="9" t="s">
        <v>136</v>
      </c>
    </row>
    <row r="13">
      <c r="A13" s="26" t="s">
        <v>146</v>
      </c>
      <c r="B13" s="27" t="s">
        <v>147</v>
      </c>
      <c r="C13" s="28">
        <v>502738.0</v>
      </c>
      <c r="D13" s="14">
        <v>350.0</v>
      </c>
      <c r="E13" s="9" t="s">
        <v>133</v>
      </c>
    </row>
    <row r="14">
      <c r="A14" s="21"/>
      <c r="B14" s="21"/>
      <c r="C14" s="21"/>
      <c r="D14" s="21"/>
      <c r="E14" s="9" t="s">
        <v>133</v>
      </c>
      <c r="G14" s="13"/>
      <c r="H14" s="13"/>
      <c r="I14" s="14" t="s">
        <v>109</v>
      </c>
      <c r="J14" s="14" t="s">
        <v>111</v>
      </c>
      <c r="K14" s="29">
        <v>150.0</v>
      </c>
      <c r="L14" s="9" t="s">
        <v>136</v>
      </c>
      <c r="M14" s="9" t="s">
        <v>136</v>
      </c>
    </row>
    <row r="15">
      <c r="A15" s="26" t="s">
        <v>148</v>
      </c>
      <c r="B15" s="27" t="s">
        <v>149</v>
      </c>
      <c r="C15" s="28">
        <v>502659.0</v>
      </c>
      <c r="D15" s="32">
        <v>300.0</v>
      </c>
      <c r="E15" s="9" t="s">
        <v>133</v>
      </c>
    </row>
    <row r="16">
      <c r="A16" s="21"/>
      <c r="B16" s="21"/>
      <c r="C16" s="21"/>
      <c r="D16" s="21"/>
      <c r="E16" s="9" t="s">
        <v>133</v>
      </c>
      <c r="G16" s="19"/>
      <c r="H16" s="19"/>
      <c r="I16" s="3" t="s">
        <v>70</v>
      </c>
      <c r="J16" s="3" t="s">
        <v>71</v>
      </c>
      <c r="K16" s="29">
        <v>120.0</v>
      </c>
      <c r="L16" s="9" t="s">
        <v>136</v>
      </c>
      <c r="M16" s="9" t="s">
        <v>136</v>
      </c>
    </row>
    <row r="17">
      <c r="A17" s="33" t="s">
        <v>150</v>
      </c>
      <c r="B17" s="34" t="s">
        <v>151</v>
      </c>
      <c r="C17" s="32" t="s">
        <v>152</v>
      </c>
      <c r="D17" s="14">
        <v>440.0</v>
      </c>
      <c r="E17" s="9" t="s">
        <v>133</v>
      </c>
      <c r="G17" s="13"/>
      <c r="H17" s="13"/>
      <c r="I17" s="14" t="s">
        <v>117</v>
      </c>
      <c r="J17" s="14" t="s">
        <v>102</v>
      </c>
      <c r="K17" s="29">
        <v>230.0</v>
      </c>
      <c r="L17" s="9" t="s">
        <v>136</v>
      </c>
      <c r="M17" s="9" t="s">
        <v>136</v>
      </c>
    </row>
    <row r="18">
      <c r="A18" s="33" t="s">
        <v>153</v>
      </c>
      <c r="B18" s="34" t="s">
        <v>154</v>
      </c>
      <c r="C18" s="32" t="s">
        <v>152</v>
      </c>
      <c r="D18" s="32">
        <v>16.0</v>
      </c>
      <c r="E18" s="9" t="s">
        <v>133</v>
      </c>
      <c r="G18" s="13"/>
      <c r="H18" s="13"/>
      <c r="I18" s="14" t="s">
        <v>118</v>
      </c>
      <c r="J18" s="14" t="s">
        <v>100</v>
      </c>
      <c r="K18" s="29">
        <v>200.0</v>
      </c>
      <c r="L18" s="9" t="s">
        <v>136</v>
      </c>
      <c r="M18" s="9" t="s">
        <v>136</v>
      </c>
    </row>
    <row r="19">
      <c r="A19" s="21"/>
      <c r="B19" s="21"/>
      <c r="C19" s="21"/>
      <c r="D19" s="21"/>
      <c r="E19" s="9" t="s">
        <v>133</v>
      </c>
      <c r="G19" s="13"/>
      <c r="H19" s="13"/>
      <c r="I19" s="14" t="s">
        <v>119</v>
      </c>
      <c r="J19" s="14" t="s">
        <v>120</v>
      </c>
      <c r="K19" s="29">
        <v>200.0</v>
      </c>
      <c r="L19" s="9" t="s">
        <v>136</v>
      </c>
      <c r="M19" s="9" t="s">
        <v>136</v>
      </c>
    </row>
    <row r="20">
      <c r="A20" s="21"/>
      <c r="B20" s="21"/>
      <c r="C20" s="32" t="s">
        <v>155</v>
      </c>
      <c r="D20" s="21">
        <f>SUM(D3:D18)</f>
        <v>4905</v>
      </c>
      <c r="E20" s="14"/>
      <c r="G20" s="13"/>
      <c r="H20" s="13"/>
      <c r="I20" s="14" t="s">
        <v>119</v>
      </c>
      <c r="J20" s="14" t="s">
        <v>121</v>
      </c>
      <c r="K20" s="29">
        <v>150.0</v>
      </c>
      <c r="L20" s="9" t="s">
        <v>136</v>
      </c>
      <c r="M20" s="9" t="s">
        <v>136</v>
      </c>
    </row>
    <row r="21">
      <c r="E21" s="3"/>
    </row>
    <row r="22">
      <c r="G22" s="19"/>
      <c r="H22" s="19"/>
      <c r="I22" s="3" t="s">
        <v>21</v>
      </c>
      <c r="K22" s="29">
        <v>177.0</v>
      </c>
    </row>
    <row r="23">
      <c r="B23" s="35"/>
      <c r="C23" s="36"/>
      <c r="D23" s="37"/>
      <c r="E23" s="38"/>
      <c r="F23" s="39"/>
    </row>
    <row r="24">
      <c r="A24" s="40" t="s">
        <v>123</v>
      </c>
      <c r="B24" s="40" t="s">
        <v>156</v>
      </c>
      <c r="C24" s="41" t="s">
        <v>155</v>
      </c>
      <c r="D24" s="40" t="s">
        <v>157</v>
      </c>
      <c r="E24" s="40" t="s">
        <v>158</v>
      </c>
      <c r="F24" s="42"/>
    </row>
    <row r="25">
      <c r="A25" s="43" t="s">
        <v>159</v>
      </c>
      <c r="B25" s="43">
        <v>505767.0</v>
      </c>
      <c r="C25" s="44">
        <v>8000.0</v>
      </c>
      <c r="D25" s="43" t="s">
        <v>160</v>
      </c>
      <c r="E25" s="45">
        <f>C25-4905</f>
        <v>3095</v>
      </c>
    </row>
    <row r="26">
      <c r="A26" s="43" t="s">
        <v>161</v>
      </c>
      <c r="B26" s="43">
        <v>505765.0</v>
      </c>
      <c r="C26" s="44">
        <v>8500.0</v>
      </c>
      <c r="D26" s="43" t="s">
        <v>162</v>
      </c>
      <c r="E26" s="45">
        <f>C26-10000</f>
        <v>-1500</v>
      </c>
    </row>
    <row r="27">
      <c r="A27" s="43" t="s">
        <v>163</v>
      </c>
      <c r="B27" s="43">
        <v>502541.0</v>
      </c>
      <c r="C27" s="44">
        <v>605.0</v>
      </c>
      <c r="D27" s="45"/>
      <c r="E27" s="45">
        <f>C27-D27</f>
        <v>605</v>
      </c>
    </row>
    <row r="28">
      <c r="A28" s="45"/>
      <c r="B28" s="45"/>
      <c r="C28" s="46"/>
      <c r="D28" s="43" t="s">
        <v>164</v>
      </c>
      <c r="E28" s="47">
        <f>SUM(E25:E27)</f>
        <v>2200</v>
      </c>
    </row>
    <row r="29">
      <c r="B29" s="39"/>
      <c r="D29" s="48"/>
      <c r="E29" s="39"/>
      <c r="F29" s="42"/>
    </row>
    <row r="30">
      <c r="B30" s="39"/>
      <c r="D30" s="48"/>
      <c r="E30" s="48"/>
      <c r="F30" s="42"/>
    </row>
    <row r="31">
      <c r="B31" s="39"/>
      <c r="D31" s="48"/>
      <c r="E31" s="48"/>
      <c r="F31" s="42"/>
    </row>
    <row r="32">
      <c r="B32" s="39"/>
      <c r="D32" s="39"/>
      <c r="E32" s="39"/>
      <c r="F32" s="42"/>
    </row>
    <row r="33">
      <c r="A33" s="3"/>
      <c r="B33" s="39"/>
      <c r="C33" s="14"/>
      <c r="D33" s="39"/>
      <c r="E33" s="39"/>
      <c r="F33" s="42"/>
    </row>
    <row r="35">
      <c r="B35" s="39"/>
      <c r="D35" s="48"/>
      <c r="E35" s="48"/>
      <c r="F35" s="42"/>
    </row>
    <row r="36">
      <c r="B36" s="39"/>
      <c r="D36" s="48"/>
      <c r="E36" s="48"/>
      <c r="F36" s="42"/>
    </row>
  </sheetData>
  <mergeCells count="1">
    <mergeCell ref="A1:D1"/>
  </mergeCells>
  <hyperlinks>
    <hyperlink r:id="rId1" ref="B3"/>
    <hyperlink r:id="rId2" ref="B4"/>
    <hyperlink r:id="rId3" ref="B5"/>
    <hyperlink r:id="rId4" ref="B7"/>
    <hyperlink r:id="rId5" ref="B9"/>
    <hyperlink r:id="rId6" ref="B13"/>
    <hyperlink r:id="rId7" ref="B15"/>
    <hyperlink r:id="rId8" ref="B17"/>
    <hyperlink r:id="rId9" ref="B18"/>
  </hyperlinks>
  <drawing r:id="rId10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71"/>
    <col customWidth="1" min="7" max="7" width="17.43"/>
  </cols>
  <sheetData>
    <row r="1">
      <c r="A1" s="12">
        <v>46016.0</v>
      </c>
      <c r="E1" s="13" t="s">
        <v>165</v>
      </c>
    </row>
    <row r="2">
      <c r="C2" s="5" t="s">
        <v>28</v>
      </c>
      <c r="D2" s="5" t="s">
        <v>29</v>
      </c>
      <c r="E2" s="5" t="s">
        <v>30</v>
      </c>
      <c r="F2" s="5" t="s">
        <v>31</v>
      </c>
    </row>
    <row r="3">
      <c r="A3" s="3" t="s">
        <v>3</v>
      </c>
      <c r="B3" s="3" t="s">
        <v>44</v>
      </c>
      <c r="C3" s="14">
        <v>6577.0</v>
      </c>
      <c r="D3" s="3">
        <f t="shared" ref="D3:D11" si="1">(F3-C3)</f>
        <v>1244</v>
      </c>
      <c r="E3" s="14">
        <v>3469.0</v>
      </c>
      <c r="F3" s="14">
        <v>7821.0</v>
      </c>
      <c r="G3" s="14" t="s">
        <v>166</v>
      </c>
      <c r="H3" s="3" t="s">
        <v>39</v>
      </c>
      <c r="I3" s="3"/>
      <c r="J3" s="3"/>
    </row>
    <row r="4">
      <c r="A4" s="3" t="s">
        <v>1</v>
      </c>
      <c r="B4" s="3" t="s">
        <v>33</v>
      </c>
      <c r="C4" s="14">
        <v>6509.0</v>
      </c>
      <c r="D4" s="3">
        <f t="shared" si="1"/>
        <v>608</v>
      </c>
      <c r="E4" s="14">
        <v>471.0</v>
      </c>
      <c r="F4" s="14">
        <v>7117.0</v>
      </c>
      <c r="G4" s="14"/>
      <c r="H4" s="3" t="s">
        <v>7</v>
      </c>
      <c r="I4" s="14">
        <v>2000.0</v>
      </c>
      <c r="J4" s="3"/>
      <c r="K4" s="9">
        <v>2500.0</v>
      </c>
    </row>
    <row r="5">
      <c r="A5" s="3" t="s">
        <v>6</v>
      </c>
      <c r="B5" s="3" t="s">
        <v>35</v>
      </c>
      <c r="C5" s="14">
        <v>2695.0</v>
      </c>
      <c r="D5" s="3">
        <f t="shared" si="1"/>
        <v>523</v>
      </c>
      <c r="E5" s="14">
        <v>471.0</v>
      </c>
      <c r="F5" s="14">
        <v>3218.0</v>
      </c>
      <c r="G5" s="3"/>
      <c r="H5" s="3" t="s">
        <v>7</v>
      </c>
      <c r="I5" s="14">
        <v>207.58</v>
      </c>
      <c r="J5" s="14" t="s">
        <v>167</v>
      </c>
    </row>
    <row r="6">
      <c r="A6" s="3" t="s">
        <v>6</v>
      </c>
      <c r="B6" s="3" t="s">
        <v>36</v>
      </c>
      <c r="C6" s="14">
        <v>9893.0</v>
      </c>
      <c r="D6" s="3">
        <f t="shared" si="1"/>
        <v>53</v>
      </c>
      <c r="E6" s="14">
        <v>5420.0</v>
      </c>
      <c r="F6" s="14">
        <v>9946.0</v>
      </c>
      <c r="G6" s="3"/>
      <c r="H6" s="3" t="s">
        <v>40</v>
      </c>
      <c r="I6" s="3"/>
      <c r="J6" s="3"/>
    </row>
    <row r="7">
      <c r="A7" s="3" t="s">
        <v>6</v>
      </c>
      <c r="B7" s="3" t="s">
        <v>45</v>
      </c>
      <c r="C7" s="14">
        <v>4469.0</v>
      </c>
      <c r="D7" s="3">
        <f t="shared" si="1"/>
        <v>186</v>
      </c>
      <c r="E7" s="14">
        <v>3028.0</v>
      </c>
      <c r="F7" s="14">
        <v>4655.0</v>
      </c>
      <c r="G7" s="14" t="s">
        <v>166</v>
      </c>
      <c r="H7" s="3" t="s">
        <v>39</v>
      </c>
      <c r="I7" s="3"/>
      <c r="J7" s="3"/>
    </row>
    <row r="8">
      <c r="A8" s="3" t="s">
        <v>7</v>
      </c>
      <c r="B8" s="3" t="s">
        <v>46</v>
      </c>
      <c r="C8" s="14">
        <v>3039.0</v>
      </c>
      <c r="D8" s="14">
        <f t="shared" si="1"/>
        <v>1103</v>
      </c>
      <c r="E8" s="14">
        <v>2363.0</v>
      </c>
      <c r="F8" s="14">
        <v>4142.0</v>
      </c>
      <c r="G8" s="3"/>
      <c r="H8" s="14" t="s">
        <v>7</v>
      </c>
      <c r="I8" s="3"/>
      <c r="J8" s="3"/>
    </row>
    <row r="9">
      <c r="A9" s="3" t="s">
        <v>8</v>
      </c>
      <c r="B9" s="3"/>
      <c r="C9" s="14">
        <v>2877.0</v>
      </c>
      <c r="D9" s="3">
        <f t="shared" si="1"/>
        <v>-262</v>
      </c>
      <c r="E9" s="3">
        <v>0.0</v>
      </c>
      <c r="F9" s="14">
        <v>2615.0</v>
      </c>
      <c r="G9" s="3"/>
      <c r="H9" s="3" t="s">
        <v>7</v>
      </c>
      <c r="I9" s="3"/>
      <c r="J9" s="3"/>
    </row>
    <row r="10">
      <c r="A10" s="3" t="s">
        <v>6</v>
      </c>
      <c r="B10" s="3" t="s">
        <v>37</v>
      </c>
      <c r="C10" s="14">
        <v>4444.0</v>
      </c>
      <c r="D10" s="14">
        <f t="shared" si="1"/>
        <v>210</v>
      </c>
      <c r="E10" s="14">
        <v>1677.0</v>
      </c>
      <c r="F10" s="14">
        <v>4654.0</v>
      </c>
      <c r="G10" s="3"/>
      <c r="H10" s="14" t="s">
        <v>7</v>
      </c>
      <c r="I10" s="3"/>
      <c r="J10" s="3"/>
    </row>
    <row r="11">
      <c r="A11" s="14" t="s">
        <v>93</v>
      </c>
      <c r="B11" s="14" t="s">
        <v>4</v>
      </c>
      <c r="C11" s="14">
        <v>3497.0</v>
      </c>
      <c r="D11" s="14">
        <f t="shared" si="1"/>
        <v>472</v>
      </c>
      <c r="E11" s="14">
        <v>2154.0</v>
      </c>
      <c r="F11" s="14">
        <v>3969.0</v>
      </c>
      <c r="G11" s="14" t="s">
        <v>168</v>
      </c>
      <c r="H11" s="14" t="s">
        <v>169</v>
      </c>
      <c r="I11" s="3"/>
      <c r="J11" s="3"/>
    </row>
    <row r="12">
      <c r="A12" s="3"/>
      <c r="B12" s="3">
        <f>(D12/C12)</f>
        <v>0.09402272727</v>
      </c>
      <c r="C12" s="3">
        <f t="shared" ref="C12:F12" si="2">SUM(C3:C11)</f>
        <v>44000</v>
      </c>
      <c r="D12" s="3">
        <f t="shared" si="2"/>
        <v>4137</v>
      </c>
      <c r="E12" s="3">
        <f t="shared" si="2"/>
        <v>19053</v>
      </c>
      <c r="F12" s="3">
        <f t="shared" si="2"/>
        <v>48137</v>
      </c>
      <c r="G12" s="3"/>
      <c r="H12" s="3"/>
      <c r="I12" s="3"/>
      <c r="J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</row>
    <row r="14">
      <c r="A14" s="3" t="s">
        <v>12</v>
      </c>
      <c r="B14" s="3" t="s">
        <v>51</v>
      </c>
      <c r="C14" s="3">
        <v>9000.0</v>
      </c>
      <c r="D14" s="3">
        <f t="shared" ref="D14:D18" si="3">(F14-C14)</f>
        <v>488</v>
      </c>
      <c r="E14" s="14">
        <v>2974.0</v>
      </c>
      <c r="F14" s="14">
        <v>9488.0</v>
      </c>
      <c r="G14" s="14">
        <v>400.0</v>
      </c>
      <c r="H14" s="14"/>
      <c r="I14" s="3"/>
      <c r="J14" s="3"/>
    </row>
    <row r="15">
      <c r="A15" s="3" t="s">
        <v>12</v>
      </c>
      <c r="B15" s="3" t="s">
        <v>52</v>
      </c>
      <c r="C15" s="14">
        <v>12500.0</v>
      </c>
      <c r="D15" s="14">
        <f t="shared" si="3"/>
        <v>0</v>
      </c>
      <c r="E15" s="14">
        <v>8836.0</v>
      </c>
      <c r="F15" s="14">
        <v>12500.0</v>
      </c>
      <c r="G15" s="3"/>
      <c r="H15" s="3"/>
      <c r="I15" s="3"/>
      <c r="J15" s="3"/>
      <c r="L15" s="9">
        <v>5679.18</v>
      </c>
    </row>
    <row r="16">
      <c r="A16" s="3" t="s">
        <v>12</v>
      </c>
      <c r="B16" s="3" t="s">
        <v>53</v>
      </c>
      <c r="C16" s="14">
        <v>10500.0</v>
      </c>
      <c r="D16" s="14">
        <f t="shared" si="3"/>
        <v>547</v>
      </c>
      <c r="E16" s="14">
        <v>7627.0</v>
      </c>
      <c r="F16" s="14">
        <v>11047.0</v>
      </c>
      <c r="G16" s="14">
        <v>600.0</v>
      </c>
      <c r="H16" s="14"/>
      <c r="I16" s="3"/>
      <c r="J16" s="3"/>
      <c r="L16" s="9">
        <v>5490.0</v>
      </c>
    </row>
    <row r="17">
      <c r="A17" s="3" t="s">
        <v>54</v>
      </c>
      <c r="B17" s="3" t="s">
        <v>55</v>
      </c>
      <c r="C17" s="3">
        <v>7000.0</v>
      </c>
      <c r="D17" s="3">
        <f t="shared" si="3"/>
        <v>1157</v>
      </c>
      <c r="E17" s="14">
        <v>2774.0</v>
      </c>
      <c r="F17" s="14">
        <v>8157.0</v>
      </c>
      <c r="G17" s="14">
        <v>1150.0</v>
      </c>
      <c r="H17" s="14"/>
      <c r="I17" s="3"/>
      <c r="J17" s="3"/>
      <c r="L17" s="1">
        <v>442.94</v>
      </c>
    </row>
    <row r="18">
      <c r="A18" s="3" t="s">
        <v>12</v>
      </c>
      <c r="B18" s="3" t="s">
        <v>56</v>
      </c>
      <c r="C18" s="14">
        <v>1000.0</v>
      </c>
      <c r="D18" s="3">
        <f t="shared" si="3"/>
        <v>540</v>
      </c>
      <c r="E18" s="14">
        <v>510.0</v>
      </c>
      <c r="F18" s="14">
        <v>1540.0</v>
      </c>
      <c r="G18" s="14">
        <v>550.0</v>
      </c>
      <c r="H18" s="14"/>
      <c r="I18" s="3"/>
      <c r="J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</row>
    <row r="20">
      <c r="A20" s="3"/>
      <c r="B20" s="3">
        <f>(D20/C20)</f>
        <v>0.0683</v>
      </c>
      <c r="C20" s="3">
        <f t="shared" ref="C20:D20" si="4">SUM(C14:C19)</f>
        <v>40000</v>
      </c>
      <c r="D20" s="3">
        <f t="shared" si="4"/>
        <v>2732</v>
      </c>
      <c r="E20" s="3">
        <f t="shared" ref="E20:G20" si="5">SUM(E14:E18)</f>
        <v>22721</v>
      </c>
      <c r="F20" s="3">
        <f t="shared" si="5"/>
        <v>42732</v>
      </c>
      <c r="G20" s="3">
        <f t="shared" si="5"/>
        <v>2700</v>
      </c>
      <c r="H20" s="14">
        <v>540.0</v>
      </c>
      <c r="I20" s="3"/>
      <c r="J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</row>
    <row r="22">
      <c r="A22" s="14" t="s">
        <v>109</v>
      </c>
      <c r="B22" s="14" t="s">
        <v>110</v>
      </c>
      <c r="C22" s="3">
        <v>9750.0</v>
      </c>
      <c r="D22" s="3">
        <f t="shared" ref="D22:D27" si="6">(F22-C22)</f>
        <v>1165</v>
      </c>
      <c r="E22" s="14">
        <v>3244.0</v>
      </c>
      <c r="F22" s="14">
        <v>10915.0</v>
      </c>
      <c r="G22" s="14">
        <v>1000.0</v>
      </c>
      <c r="H22" s="14"/>
      <c r="I22" s="3"/>
      <c r="J22" s="3"/>
      <c r="K22" s="9" t="s">
        <v>39</v>
      </c>
    </row>
    <row r="23">
      <c r="A23" s="14" t="s">
        <v>109</v>
      </c>
      <c r="B23" s="14" t="s">
        <v>111</v>
      </c>
      <c r="C23" s="3">
        <v>10250.0</v>
      </c>
      <c r="D23" s="3">
        <f t="shared" si="6"/>
        <v>-99</v>
      </c>
      <c r="E23" s="14">
        <v>5446.0</v>
      </c>
      <c r="F23" s="14">
        <v>10151.0</v>
      </c>
      <c r="G23" s="3"/>
      <c r="H23" s="3"/>
      <c r="I23" s="3"/>
      <c r="J23" s="3"/>
      <c r="K23" s="9" t="s">
        <v>40</v>
      </c>
    </row>
    <row r="24">
      <c r="A24" s="14" t="s">
        <v>109</v>
      </c>
      <c r="B24" s="14" t="s">
        <v>170</v>
      </c>
      <c r="C24" s="14">
        <v>8000.0</v>
      </c>
      <c r="D24" s="3">
        <f t="shared" si="6"/>
        <v>485</v>
      </c>
      <c r="E24" s="14">
        <v>115.0</v>
      </c>
      <c r="F24" s="14">
        <v>8485.0</v>
      </c>
      <c r="G24" s="14">
        <v>485.0</v>
      </c>
      <c r="H24" s="14"/>
      <c r="I24" s="3"/>
      <c r="J24" s="3"/>
      <c r="K24" s="9" t="s">
        <v>171</v>
      </c>
    </row>
    <row r="25">
      <c r="A25" s="14" t="s">
        <v>109</v>
      </c>
      <c r="B25" s="14" t="s">
        <v>172</v>
      </c>
      <c r="C25" s="14">
        <v>7000.0</v>
      </c>
      <c r="D25" s="3">
        <f t="shared" si="6"/>
        <v>373</v>
      </c>
      <c r="E25" s="14">
        <v>348.0</v>
      </c>
      <c r="F25" s="14">
        <v>7373.0</v>
      </c>
      <c r="G25" s="14">
        <v>365.0</v>
      </c>
      <c r="H25" s="14"/>
      <c r="I25" s="3"/>
      <c r="J25" s="3"/>
      <c r="K25" s="9" t="s">
        <v>173</v>
      </c>
      <c r="L25" s="9" t="s">
        <v>174</v>
      </c>
    </row>
    <row r="26">
      <c r="A26" s="14" t="s">
        <v>109</v>
      </c>
      <c r="B26" s="14" t="s">
        <v>175</v>
      </c>
      <c r="C26" s="14">
        <v>8000.0</v>
      </c>
      <c r="D26" s="3">
        <f t="shared" si="6"/>
        <v>754</v>
      </c>
      <c r="E26" s="14">
        <v>526.0</v>
      </c>
      <c r="F26" s="14">
        <v>8754.0</v>
      </c>
      <c r="G26" s="14">
        <v>650.0</v>
      </c>
      <c r="H26" s="14"/>
      <c r="I26" s="3"/>
      <c r="J26" s="3"/>
      <c r="K26" s="9" t="s">
        <v>39</v>
      </c>
    </row>
    <row r="27">
      <c r="A27" s="14" t="s">
        <v>109</v>
      </c>
      <c r="B27" s="14" t="s">
        <v>176</v>
      </c>
      <c r="C27" s="14">
        <v>7000.0</v>
      </c>
      <c r="D27" s="3">
        <f t="shared" si="6"/>
        <v>502</v>
      </c>
      <c r="E27" s="14">
        <v>431.0</v>
      </c>
      <c r="F27" s="14">
        <v>7502.0</v>
      </c>
      <c r="G27" s="14">
        <v>500.0</v>
      </c>
      <c r="H27" s="14"/>
      <c r="I27" s="3"/>
      <c r="J27" s="3"/>
      <c r="K27" s="9" t="s">
        <v>173</v>
      </c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</row>
    <row r="29">
      <c r="A29" s="3"/>
      <c r="B29" s="3">
        <f>(D29/C29)</f>
        <v>0.0636</v>
      </c>
      <c r="C29" s="3">
        <f>SUM(C22:C28)</f>
        <v>50000</v>
      </c>
      <c r="D29" s="3">
        <f>SUM(D22:D27)</f>
        <v>3180</v>
      </c>
      <c r="E29" s="3">
        <f t="shared" ref="E29:F29" si="7">SUM(E22:E28)</f>
        <v>10110</v>
      </c>
      <c r="F29" s="3">
        <f t="shared" si="7"/>
        <v>53180</v>
      </c>
      <c r="G29" s="3">
        <f>SUM(G22:G27)</f>
        <v>3000</v>
      </c>
      <c r="H29" s="14">
        <v>600.0</v>
      </c>
      <c r="I29" s="3"/>
      <c r="J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</row>
    <row r="32">
      <c r="A32" s="3" t="s">
        <v>14</v>
      </c>
      <c r="B32" s="14" t="s">
        <v>177</v>
      </c>
      <c r="C32" s="3">
        <v>5000.0</v>
      </c>
      <c r="D32" s="3">
        <f>(F32-C32)</f>
        <v>492</v>
      </c>
      <c r="E32" s="14">
        <v>483.0</v>
      </c>
      <c r="F32" s="14">
        <v>5492.0</v>
      </c>
      <c r="G32" s="14">
        <v>500.0</v>
      </c>
      <c r="H32" s="14">
        <v>100.0</v>
      </c>
      <c r="I32" s="3"/>
      <c r="J32" s="3"/>
      <c r="K32" s="9" t="s">
        <v>178</v>
      </c>
    </row>
    <row r="33">
      <c r="A33" s="3"/>
      <c r="B33" s="3">
        <f>(D32/C32)</f>
        <v>0.0984</v>
      </c>
      <c r="C33" s="3"/>
      <c r="D33" s="3"/>
      <c r="E33" s="3"/>
      <c r="F33" s="3"/>
      <c r="G33" s="3"/>
      <c r="H33" s="3"/>
      <c r="I33" s="3"/>
      <c r="J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</row>
    <row r="35">
      <c r="A35" s="3" t="s">
        <v>15</v>
      </c>
      <c r="B35" s="3" t="s">
        <v>5</v>
      </c>
      <c r="C35" s="14">
        <v>7000.0</v>
      </c>
      <c r="D35" s="3">
        <f>(F35-C35)</f>
        <v>-52</v>
      </c>
      <c r="E35" s="14">
        <v>3836.0</v>
      </c>
      <c r="F35" s="14">
        <v>6948.0</v>
      </c>
      <c r="G35" s="14">
        <v>0.0</v>
      </c>
      <c r="H35" s="14">
        <v>0.0</v>
      </c>
      <c r="I35" s="3"/>
      <c r="J35" s="3"/>
    </row>
    <row r="36">
      <c r="A36" s="3"/>
      <c r="B36" s="3">
        <f>(D35/C35)</f>
        <v>-0.007428571429</v>
      </c>
      <c r="C36" s="3"/>
      <c r="D36" s="3"/>
      <c r="E36" s="3"/>
      <c r="F36" s="3"/>
      <c r="G36" s="3"/>
      <c r="H36" s="3"/>
      <c r="I36" s="3"/>
      <c r="J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</row>
    <row r="39">
      <c r="A39" s="3"/>
      <c r="B39" s="3" t="str">
        <f>(D39/C39)</f>
        <v>#REF!</v>
      </c>
      <c r="C39" s="3" t="str">
        <f t="shared" ref="C39:E39" si="8">(C35+C32+C29+C20+#REF!+C12)</f>
        <v>#REF!</v>
      </c>
      <c r="D39" s="3" t="str">
        <f t="shared" si="8"/>
        <v>#REF!</v>
      </c>
      <c r="E39" s="3" t="str">
        <f t="shared" si="8"/>
        <v>#REF!</v>
      </c>
      <c r="F39" s="3"/>
      <c r="G39" s="3"/>
      <c r="H39" s="3"/>
      <c r="I39" s="3"/>
      <c r="J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>
      <c r="A41" s="3"/>
      <c r="B41" s="3"/>
      <c r="C41" s="3"/>
      <c r="D41" s="3"/>
      <c r="E41" s="3"/>
      <c r="F41" s="3"/>
      <c r="G41" s="3" t="s">
        <v>66</v>
      </c>
      <c r="H41" s="14">
        <v>4137.0</v>
      </c>
      <c r="I41" s="3"/>
      <c r="J41" s="3"/>
    </row>
    <row r="42">
      <c r="A42" s="3"/>
      <c r="B42" s="3"/>
      <c r="C42" s="3"/>
      <c r="D42" s="3"/>
      <c r="E42" s="3"/>
      <c r="F42" s="3"/>
      <c r="G42" s="3" t="s">
        <v>67</v>
      </c>
      <c r="H42" s="14">
        <v>1240.0</v>
      </c>
      <c r="I42" s="3"/>
      <c r="J42" s="3"/>
    </row>
    <row r="43">
      <c r="A43" s="3"/>
      <c r="B43" s="3"/>
      <c r="C43" s="3"/>
      <c r="D43" s="3"/>
      <c r="E43" s="3"/>
      <c r="F43" s="3"/>
      <c r="G43" s="14" t="s">
        <v>179</v>
      </c>
      <c r="H43" s="14">
        <v>1200.0</v>
      </c>
      <c r="I43" s="3"/>
      <c r="J43" s="3"/>
    </row>
    <row r="44">
      <c r="A44" s="3"/>
      <c r="B44" s="3"/>
      <c r="C44" s="3"/>
      <c r="D44" s="3"/>
      <c r="E44" s="3"/>
      <c r="F44" s="3"/>
      <c r="G44" s="14" t="s">
        <v>180</v>
      </c>
      <c r="H44" s="14">
        <v>1500.0</v>
      </c>
      <c r="I44" s="3"/>
      <c r="J44" s="3"/>
    </row>
    <row r="45">
      <c r="A45" s="3"/>
      <c r="B45" s="3"/>
      <c r="C45" s="3"/>
      <c r="D45" s="3"/>
      <c r="E45" s="3"/>
      <c r="F45" s="3" t="s">
        <v>27</v>
      </c>
      <c r="G45" s="3" t="s">
        <v>19</v>
      </c>
      <c r="H45" s="14">
        <v>2850.0</v>
      </c>
      <c r="I45" s="3"/>
      <c r="J45" s="3"/>
    </row>
    <row r="46">
      <c r="A46" s="3"/>
      <c r="B46" s="3"/>
      <c r="C46" s="3"/>
      <c r="D46" s="3"/>
      <c r="E46" s="3"/>
      <c r="F46" s="3" t="s">
        <v>39</v>
      </c>
      <c r="G46" s="3" t="s">
        <v>19</v>
      </c>
      <c r="H46" s="14">
        <v>41.0</v>
      </c>
      <c r="I46" s="3"/>
      <c r="J46" s="3"/>
    </row>
    <row r="47">
      <c r="A47" s="3"/>
      <c r="B47" s="3"/>
      <c r="C47" s="3"/>
      <c r="D47" s="3"/>
      <c r="E47" s="3"/>
      <c r="F47" s="3"/>
      <c r="G47" s="3" t="s">
        <v>20</v>
      </c>
      <c r="H47" s="3"/>
      <c r="I47" s="3"/>
      <c r="J47" s="3"/>
    </row>
    <row r="48">
      <c r="A48" s="3"/>
      <c r="B48" s="3"/>
      <c r="C48" s="3"/>
      <c r="D48" s="3"/>
      <c r="E48" s="3"/>
      <c r="F48" s="3"/>
      <c r="G48" s="3" t="s">
        <v>21</v>
      </c>
      <c r="H48" s="14">
        <v>737.0</v>
      </c>
      <c r="I48" s="3"/>
      <c r="J48" s="3"/>
    </row>
    <row r="49">
      <c r="A49" s="3"/>
      <c r="B49" s="3"/>
      <c r="C49" s="3"/>
      <c r="D49" s="3"/>
      <c r="E49" s="3"/>
      <c r="F49" s="3"/>
      <c r="G49" s="3" t="s">
        <v>58</v>
      </c>
      <c r="H49" s="3"/>
      <c r="I49" s="3"/>
      <c r="J49" s="3"/>
    </row>
    <row r="50">
      <c r="A50" s="3"/>
      <c r="B50" s="3"/>
      <c r="C50" s="3"/>
      <c r="D50" s="3"/>
      <c r="E50" s="3"/>
      <c r="F50" s="3"/>
      <c r="G50" s="3" t="s">
        <v>68</v>
      </c>
      <c r="H50" s="3"/>
      <c r="I50" s="3"/>
      <c r="J50" s="3"/>
    </row>
    <row r="51">
      <c r="A51" s="3"/>
      <c r="B51" s="3"/>
      <c r="C51" s="3"/>
      <c r="D51" s="3"/>
      <c r="E51" s="3"/>
      <c r="F51" s="3"/>
      <c r="G51" s="3" t="s">
        <v>18</v>
      </c>
      <c r="H51" s="3">
        <f>SUM(H41:H48)</f>
        <v>11705</v>
      </c>
      <c r="I51" s="14"/>
      <c r="J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</row>
    <row r="56">
      <c r="A56" s="3" t="s">
        <v>69</v>
      </c>
      <c r="B56" s="3"/>
      <c r="C56" s="3"/>
      <c r="D56" s="3"/>
      <c r="E56" s="3"/>
      <c r="F56" s="3"/>
      <c r="G56" s="3"/>
      <c r="H56" s="3"/>
      <c r="I56" s="3"/>
      <c r="J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</row>
    <row r="58">
      <c r="A58" s="3" t="s">
        <v>70</v>
      </c>
      <c r="B58" s="3" t="s">
        <v>71</v>
      </c>
      <c r="C58" s="3"/>
      <c r="D58" s="3"/>
      <c r="E58" s="3"/>
      <c r="F58" s="3"/>
      <c r="G58" s="3"/>
      <c r="H58" s="3"/>
      <c r="I58" s="3"/>
      <c r="J58" s="3"/>
    </row>
    <row r="59">
      <c r="A59" s="3" t="s">
        <v>72</v>
      </c>
      <c r="B59" s="3" t="s">
        <v>73</v>
      </c>
      <c r="C59" s="3"/>
      <c r="D59" s="3"/>
      <c r="E59" s="3"/>
      <c r="F59" s="3"/>
      <c r="G59" s="3"/>
      <c r="H59" s="3"/>
      <c r="I59" s="3"/>
      <c r="J59" s="3"/>
    </row>
    <row r="60">
      <c r="A60" s="3" t="s">
        <v>74</v>
      </c>
      <c r="B60" s="3" t="s">
        <v>75</v>
      </c>
      <c r="C60" s="14"/>
      <c r="D60" s="14">
        <v>1000.0</v>
      </c>
      <c r="E60" s="3"/>
      <c r="F60" s="3"/>
      <c r="G60" s="3"/>
      <c r="H60" s="3"/>
      <c r="I60" s="3"/>
      <c r="J60" s="3"/>
    </row>
    <row r="61">
      <c r="A61" s="3" t="s">
        <v>76</v>
      </c>
      <c r="B61" s="3" t="s">
        <v>77</v>
      </c>
      <c r="C61" s="3"/>
      <c r="D61" s="14">
        <v>0.0</v>
      </c>
      <c r="E61" s="3"/>
      <c r="F61" s="3"/>
      <c r="G61" s="3"/>
      <c r="H61" s="3"/>
      <c r="I61" s="3"/>
      <c r="J61" s="3"/>
    </row>
    <row r="62">
      <c r="A62" s="3" t="s">
        <v>76</v>
      </c>
      <c r="B62" s="3" t="s">
        <v>87</v>
      </c>
      <c r="C62" s="3"/>
      <c r="D62" s="14">
        <v>0.0</v>
      </c>
      <c r="E62" s="3"/>
      <c r="F62" s="3"/>
      <c r="G62" s="3"/>
      <c r="H62" s="3"/>
      <c r="I62" s="3"/>
      <c r="J62" s="3"/>
    </row>
    <row r="63">
      <c r="A63" s="14" t="s">
        <v>117</v>
      </c>
      <c r="B63" s="14" t="s">
        <v>102</v>
      </c>
      <c r="C63" s="14" t="s">
        <v>181</v>
      </c>
      <c r="D63" s="14">
        <v>400.0</v>
      </c>
      <c r="E63" s="3"/>
      <c r="F63" s="3"/>
      <c r="G63" s="3"/>
      <c r="H63" s="3"/>
      <c r="I63" s="3"/>
      <c r="J63" s="3"/>
    </row>
    <row r="64">
      <c r="A64" s="14" t="s">
        <v>117</v>
      </c>
      <c r="B64" s="14" t="s">
        <v>182</v>
      </c>
      <c r="C64" s="14" t="s">
        <v>39</v>
      </c>
      <c r="D64" s="14">
        <v>300.0</v>
      </c>
      <c r="E64" s="3"/>
      <c r="F64" s="3"/>
      <c r="G64" s="3"/>
      <c r="H64" s="3"/>
      <c r="I64" s="3"/>
      <c r="J64" s="3"/>
    </row>
    <row r="65">
      <c r="A65" s="14" t="s">
        <v>117</v>
      </c>
      <c r="B65" s="14" t="s">
        <v>183</v>
      </c>
      <c r="C65" s="14" t="s">
        <v>184</v>
      </c>
      <c r="D65" s="14">
        <v>200.0</v>
      </c>
      <c r="E65" s="3"/>
      <c r="F65" s="3"/>
      <c r="G65" s="3"/>
      <c r="H65" s="3"/>
      <c r="I65" s="3"/>
      <c r="J65" s="3"/>
    </row>
    <row r="66">
      <c r="A66" s="14" t="s">
        <v>118</v>
      </c>
      <c r="B66" s="14" t="s">
        <v>100</v>
      </c>
      <c r="C66" s="14"/>
      <c r="D66" s="14">
        <v>400.0</v>
      </c>
      <c r="E66" s="3"/>
      <c r="F66" s="3"/>
      <c r="G66" s="3"/>
      <c r="H66" s="3"/>
      <c r="I66" s="3"/>
      <c r="J66" s="3"/>
    </row>
    <row r="67">
      <c r="A67" s="14" t="s">
        <v>119</v>
      </c>
      <c r="B67" s="14" t="s">
        <v>120</v>
      </c>
      <c r="C67" s="14"/>
      <c r="D67" s="14">
        <v>130.0</v>
      </c>
      <c r="E67" s="3"/>
      <c r="F67" s="3"/>
      <c r="G67" s="3"/>
      <c r="H67" s="3"/>
      <c r="I67" s="3"/>
      <c r="J67" s="3"/>
    </row>
    <row r="68">
      <c r="A68" s="14" t="s">
        <v>119</v>
      </c>
      <c r="B68" s="14" t="s">
        <v>121</v>
      </c>
      <c r="C68" s="14"/>
      <c r="D68" s="14">
        <v>300.0</v>
      </c>
      <c r="E68" s="3"/>
      <c r="F68" s="3"/>
      <c r="G68" s="3"/>
      <c r="H68" s="3"/>
      <c r="I68" s="3"/>
      <c r="J68" s="3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</row>
  </sheetData>
  <autoFilter ref="$B$1:$B$997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14.57"/>
    <col customWidth="1" min="4" max="4" width="26.86"/>
    <col customWidth="1" min="14" max="14" width="22.86"/>
  </cols>
  <sheetData>
    <row r="1">
      <c r="A1" s="22" t="s">
        <v>185</v>
      </c>
      <c r="B1" s="23"/>
      <c r="C1" s="23"/>
      <c r="D1" s="24"/>
      <c r="E1" s="9"/>
      <c r="F1" s="9"/>
      <c r="G1" s="9"/>
      <c r="H1" s="9"/>
      <c r="I1" s="9"/>
      <c r="L1" s="9"/>
      <c r="M1" s="9"/>
      <c r="N1" s="9"/>
      <c r="O1" s="9"/>
      <c r="P1" s="9"/>
    </row>
    <row r="2">
      <c r="A2" s="49" t="s">
        <v>19</v>
      </c>
      <c r="B2" s="23"/>
      <c r="C2" s="23"/>
      <c r="D2" s="24"/>
      <c r="E2" s="9"/>
      <c r="F2" s="9"/>
      <c r="G2" s="9"/>
      <c r="H2" s="9"/>
      <c r="I2" s="9"/>
      <c r="L2" s="9"/>
      <c r="M2" s="9"/>
      <c r="N2" s="9"/>
      <c r="O2" s="9"/>
      <c r="P2" s="9"/>
    </row>
    <row r="3">
      <c r="A3" s="49" t="s">
        <v>186</v>
      </c>
      <c r="B3" s="23"/>
      <c r="C3" s="23"/>
      <c r="D3" s="24"/>
      <c r="E3" s="9"/>
      <c r="F3" s="9"/>
      <c r="G3" s="9"/>
      <c r="H3" s="9"/>
      <c r="I3" s="9"/>
      <c r="L3" s="9"/>
      <c r="M3" s="9"/>
      <c r="N3" s="9"/>
      <c r="O3" s="9"/>
      <c r="P3" s="9"/>
    </row>
    <row r="4">
      <c r="A4" s="25" t="s">
        <v>123</v>
      </c>
      <c r="B4" s="25" t="s">
        <v>124</v>
      </c>
      <c r="C4" s="25" t="s">
        <v>125</v>
      </c>
      <c r="D4" s="25" t="s">
        <v>126</v>
      </c>
      <c r="E4" s="9" t="s">
        <v>127</v>
      </c>
      <c r="F4" s="9" t="s">
        <v>128</v>
      </c>
      <c r="G4" s="9" t="s">
        <v>129</v>
      </c>
      <c r="H4" s="9"/>
      <c r="I4" s="9" t="s">
        <v>21</v>
      </c>
      <c r="L4" s="9" t="s">
        <v>127</v>
      </c>
      <c r="M4" s="9" t="s">
        <v>128</v>
      </c>
      <c r="N4" s="9" t="s">
        <v>129</v>
      </c>
      <c r="O4" s="9"/>
      <c r="P4" s="9" t="s">
        <v>130</v>
      </c>
    </row>
    <row r="5">
      <c r="A5" s="26" t="s">
        <v>131</v>
      </c>
      <c r="B5" s="27" t="s">
        <v>132</v>
      </c>
      <c r="C5" s="28">
        <v>502870.0</v>
      </c>
      <c r="D5" s="14" t="s">
        <v>187</v>
      </c>
      <c r="G5" s="19"/>
      <c r="H5" s="19"/>
      <c r="I5" s="3" t="s">
        <v>1</v>
      </c>
      <c r="J5" s="3" t="s">
        <v>33</v>
      </c>
      <c r="K5" s="50"/>
      <c r="O5" s="19"/>
      <c r="P5" s="3" t="s">
        <v>12</v>
      </c>
      <c r="Q5" s="3" t="s">
        <v>56</v>
      </c>
      <c r="R5" s="30">
        <v>550.0</v>
      </c>
      <c r="S5" s="29"/>
    </row>
    <row r="6">
      <c r="A6" s="3" t="s">
        <v>6</v>
      </c>
      <c r="B6" s="27" t="s">
        <v>135</v>
      </c>
      <c r="C6" s="28">
        <v>502871.0</v>
      </c>
      <c r="D6" s="14" t="s">
        <v>187</v>
      </c>
      <c r="G6" s="19"/>
      <c r="H6" s="19"/>
      <c r="I6" s="3" t="s">
        <v>6</v>
      </c>
      <c r="J6" s="3" t="s">
        <v>35</v>
      </c>
      <c r="K6" s="50"/>
    </row>
    <row r="7">
      <c r="A7" s="14" t="s">
        <v>93</v>
      </c>
      <c r="B7" s="27" t="s">
        <v>139</v>
      </c>
      <c r="C7" s="28">
        <v>502749.0</v>
      </c>
      <c r="D7" s="14" t="s">
        <v>168</v>
      </c>
      <c r="G7" s="19"/>
      <c r="H7" s="19"/>
      <c r="I7" s="3" t="s">
        <v>7</v>
      </c>
      <c r="J7" s="3" t="s">
        <v>46</v>
      </c>
      <c r="K7" s="50"/>
      <c r="P7" s="26" t="s">
        <v>109</v>
      </c>
      <c r="Q7" s="26" t="s">
        <v>170</v>
      </c>
      <c r="R7" s="9">
        <v>485.0</v>
      </c>
    </row>
    <row r="8">
      <c r="A8" s="21"/>
      <c r="B8" s="21"/>
      <c r="C8" s="21"/>
      <c r="D8" s="21"/>
      <c r="K8" s="36"/>
    </row>
    <row r="9">
      <c r="A9" s="26"/>
      <c r="B9" s="27"/>
      <c r="C9" s="28"/>
      <c r="D9" s="14"/>
      <c r="G9" s="13"/>
      <c r="H9" s="19"/>
      <c r="I9" s="3" t="s">
        <v>12</v>
      </c>
      <c r="J9" s="3" t="s">
        <v>52</v>
      </c>
      <c r="K9" s="50"/>
      <c r="Q9" s="9" t="s">
        <v>137</v>
      </c>
      <c r="R9" s="31">
        <v>177.0</v>
      </c>
    </row>
    <row r="10">
      <c r="A10" s="3"/>
      <c r="B10" s="3"/>
      <c r="C10" s="3"/>
      <c r="D10" s="3"/>
      <c r="G10" s="19"/>
      <c r="H10" s="19"/>
      <c r="I10" s="3" t="s">
        <v>12</v>
      </c>
      <c r="J10" s="3" t="s">
        <v>53</v>
      </c>
      <c r="K10" s="29">
        <v>600.0</v>
      </c>
    </row>
    <row r="11">
      <c r="A11" s="26" t="s">
        <v>142</v>
      </c>
      <c r="B11" s="27" t="s">
        <v>143</v>
      </c>
      <c r="C11" s="28">
        <v>502627.0</v>
      </c>
      <c r="D11" s="14">
        <v>400.0</v>
      </c>
      <c r="G11" s="19"/>
      <c r="H11" s="19"/>
      <c r="I11" s="3"/>
      <c r="J11" s="3"/>
      <c r="K11" s="50"/>
    </row>
    <row r="12">
      <c r="A12" s="21"/>
      <c r="B12" s="21"/>
      <c r="C12" s="21"/>
      <c r="D12" s="21"/>
      <c r="K12" s="36"/>
    </row>
    <row r="13">
      <c r="A13" s="14" t="s">
        <v>144</v>
      </c>
      <c r="B13" s="26" t="s">
        <v>145</v>
      </c>
      <c r="C13" s="28">
        <v>505250.0</v>
      </c>
      <c r="D13" s="14">
        <v>1150.0</v>
      </c>
      <c r="G13" s="19"/>
      <c r="H13" s="19"/>
      <c r="K13" s="36"/>
    </row>
    <row r="14">
      <c r="A14" s="21"/>
      <c r="B14" s="21"/>
      <c r="C14" s="21"/>
      <c r="D14" s="21"/>
      <c r="G14" s="19"/>
      <c r="H14" s="19"/>
      <c r="K14" s="36"/>
    </row>
    <row r="15">
      <c r="A15" s="26" t="s">
        <v>146</v>
      </c>
      <c r="B15" s="27" t="s">
        <v>147</v>
      </c>
      <c r="C15" s="28">
        <v>502738.0</v>
      </c>
      <c r="D15" s="14">
        <v>1000.0</v>
      </c>
      <c r="I15" s="14" t="s">
        <v>109</v>
      </c>
      <c r="J15" s="14" t="s">
        <v>111</v>
      </c>
      <c r="K15" s="50"/>
    </row>
    <row r="16">
      <c r="A16" s="26" t="s">
        <v>146</v>
      </c>
      <c r="B16" s="27" t="s">
        <v>147</v>
      </c>
      <c r="C16" s="9">
        <v>505767.0</v>
      </c>
      <c r="D16" s="14">
        <v>650.0</v>
      </c>
      <c r="G16" s="13"/>
      <c r="H16" s="13"/>
      <c r="I16" s="14" t="s">
        <v>109</v>
      </c>
      <c r="J16" s="13" t="s">
        <v>188</v>
      </c>
      <c r="K16" s="51">
        <v>365.0</v>
      </c>
      <c r="L16" s="9"/>
      <c r="M16" s="9"/>
    </row>
    <row r="17">
      <c r="A17" s="21"/>
      <c r="B17" s="21"/>
      <c r="C17" s="21"/>
      <c r="D17" s="21"/>
      <c r="G17" s="13"/>
      <c r="H17" s="13"/>
      <c r="I17" s="14" t="s">
        <v>109</v>
      </c>
      <c r="J17" s="9" t="s">
        <v>189</v>
      </c>
      <c r="K17" s="30">
        <v>500.0</v>
      </c>
      <c r="M17" s="9" t="s">
        <v>136</v>
      </c>
    </row>
    <row r="18">
      <c r="A18" s="26" t="s">
        <v>148</v>
      </c>
      <c r="B18" s="27" t="s">
        <v>149</v>
      </c>
      <c r="C18" s="28">
        <v>502659.0</v>
      </c>
      <c r="D18" s="32">
        <v>500.0</v>
      </c>
      <c r="K18" s="36"/>
    </row>
    <row r="19">
      <c r="A19" s="21"/>
      <c r="B19" s="21"/>
      <c r="C19" s="21"/>
      <c r="D19" s="21"/>
      <c r="G19" s="19"/>
      <c r="H19" s="19"/>
      <c r="I19" s="3" t="s">
        <v>70</v>
      </c>
      <c r="J19" s="3" t="s">
        <v>71</v>
      </c>
      <c r="K19" s="50"/>
    </row>
    <row r="20">
      <c r="A20" s="33" t="s">
        <v>150</v>
      </c>
      <c r="B20" s="34" t="s">
        <v>151</v>
      </c>
      <c r="C20" s="32" t="s">
        <v>152</v>
      </c>
      <c r="D20" s="14">
        <v>2850.0</v>
      </c>
      <c r="G20" s="13"/>
      <c r="H20" s="13"/>
      <c r="K20" s="36"/>
    </row>
    <row r="21">
      <c r="A21" s="33" t="s">
        <v>153</v>
      </c>
      <c r="B21" s="34" t="s">
        <v>154</v>
      </c>
      <c r="C21" s="32" t="s">
        <v>152</v>
      </c>
      <c r="D21" s="32">
        <v>41.0</v>
      </c>
      <c r="G21" s="13"/>
      <c r="H21" s="13"/>
      <c r="I21" s="14" t="s">
        <v>117</v>
      </c>
      <c r="J21" s="14" t="s">
        <v>102</v>
      </c>
      <c r="K21" s="29">
        <v>400.0</v>
      </c>
    </row>
    <row r="22">
      <c r="A22" s="21"/>
      <c r="B22" s="21"/>
      <c r="C22" s="21"/>
      <c r="D22" s="21"/>
      <c r="G22" s="13"/>
      <c r="H22" s="13"/>
      <c r="I22" s="14" t="s">
        <v>117</v>
      </c>
      <c r="J22" s="14" t="s">
        <v>182</v>
      </c>
      <c r="K22" s="52">
        <v>300.0</v>
      </c>
    </row>
    <row r="23">
      <c r="A23" s="26" t="s">
        <v>74</v>
      </c>
      <c r="B23" s="53" t="s">
        <v>190</v>
      </c>
      <c r="C23" s="1">
        <v>502530.0</v>
      </c>
      <c r="D23" s="32">
        <v>1000.0</v>
      </c>
      <c r="G23" s="13"/>
      <c r="H23" s="13"/>
      <c r="I23" s="14" t="s">
        <v>117</v>
      </c>
      <c r="J23" s="14" t="s">
        <v>183</v>
      </c>
      <c r="K23" s="54">
        <v>200.0</v>
      </c>
    </row>
    <row r="24">
      <c r="A24" s="21"/>
      <c r="B24" s="21"/>
      <c r="C24" s="21"/>
      <c r="D24" s="21"/>
      <c r="G24" s="13"/>
      <c r="H24" s="13"/>
      <c r="K24" s="36"/>
    </row>
    <row r="25">
      <c r="A25" s="21"/>
      <c r="B25" s="21"/>
      <c r="C25" s="32" t="s">
        <v>155</v>
      </c>
      <c r="D25" s="21">
        <f>SUM(D5:D23)</f>
        <v>7591</v>
      </c>
      <c r="E25" s="14"/>
      <c r="G25" s="13"/>
      <c r="H25" s="13"/>
      <c r="I25" s="14" t="s">
        <v>118</v>
      </c>
      <c r="J25" s="14" t="s">
        <v>100</v>
      </c>
      <c r="K25" s="29">
        <v>400.0</v>
      </c>
    </row>
    <row r="26">
      <c r="E26" s="3"/>
      <c r="I26" s="14"/>
      <c r="J26" s="14"/>
      <c r="K26" s="50"/>
    </row>
    <row r="27">
      <c r="G27" s="19"/>
      <c r="H27" s="19"/>
      <c r="I27" s="14" t="s">
        <v>119</v>
      </c>
      <c r="J27" s="14" t="s">
        <v>120</v>
      </c>
      <c r="K27" s="29">
        <v>130.0</v>
      </c>
    </row>
    <row r="28">
      <c r="A28" s="55" t="s">
        <v>191</v>
      </c>
      <c r="D28" s="56"/>
      <c r="E28" s="38"/>
      <c r="F28" s="39"/>
      <c r="I28" s="14" t="s">
        <v>119</v>
      </c>
      <c r="J28" s="14" t="s">
        <v>121</v>
      </c>
      <c r="K28" s="29">
        <v>300.0</v>
      </c>
    </row>
    <row r="29">
      <c r="A29" s="25" t="s">
        <v>123</v>
      </c>
      <c r="B29" s="25" t="s">
        <v>124</v>
      </c>
      <c r="C29" s="25" t="s">
        <v>125</v>
      </c>
      <c r="D29" s="25" t="s">
        <v>126</v>
      </c>
      <c r="E29" s="40"/>
      <c r="F29" s="42"/>
      <c r="K29" s="36"/>
    </row>
    <row r="30">
      <c r="A30" s="26" t="s">
        <v>131</v>
      </c>
      <c r="B30" s="27" t="s">
        <v>132</v>
      </c>
      <c r="C30" s="28">
        <v>502870.0</v>
      </c>
      <c r="D30" s="14">
        <v>1500.0</v>
      </c>
      <c r="E30" s="45"/>
      <c r="I30" s="3" t="s">
        <v>21</v>
      </c>
      <c r="K30" s="50">
        <v>737.0</v>
      </c>
    </row>
    <row r="31">
      <c r="A31" s="3" t="s">
        <v>6</v>
      </c>
      <c r="B31" s="27" t="s">
        <v>135</v>
      </c>
      <c r="C31" s="28">
        <v>502871.0</v>
      </c>
      <c r="D31" s="14">
        <v>1500.0</v>
      </c>
      <c r="E31" s="45"/>
    </row>
    <row r="32">
      <c r="A32" s="14" t="s">
        <v>93</v>
      </c>
      <c r="B32" s="27" t="s">
        <v>139</v>
      </c>
      <c r="C32" s="28">
        <v>502749.0</v>
      </c>
      <c r="D32" s="14">
        <v>1068.0</v>
      </c>
      <c r="E32" s="45"/>
      <c r="J32" s="9" t="s">
        <v>155</v>
      </c>
      <c r="K32" s="1">
        <f>SUM(K1:K30)</f>
        <v>3932</v>
      </c>
    </row>
    <row r="33">
      <c r="A33" s="45"/>
      <c r="B33" s="45"/>
      <c r="C33" s="44" t="s">
        <v>155</v>
      </c>
      <c r="D33" s="43">
        <f>SUM(D30:D32)</f>
        <v>4068</v>
      </c>
      <c r="E33" s="47"/>
    </row>
    <row r="34">
      <c r="B34" s="39"/>
      <c r="D34" s="48"/>
      <c r="E34" s="39"/>
      <c r="F34" s="42"/>
    </row>
    <row r="35">
      <c r="B35" s="39"/>
      <c r="D35" s="48"/>
      <c r="E35" s="48"/>
      <c r="F35" s="42"/>
    </row>
    <row r="36">
      <c r="B36" s="39"/>
      <c r="D36" s="48"/>
      <c r="E36" s="48"/>
      <c r="F36" s="42"/>
    </row>
    <row r="37">
      <c r="B37" s="39"/>
      <c r="D37" s="39"/>
      <c r="E37" s="39"/>
      <c r="F37" s="42"/>
    </row>
    <row r="38">
      <c r="A38" s="3"/>
      <c r="B38" s="39"/>
      <c r="C38" s="14"/>
      <c r="D38" s="39"/>
      <c r="E38" s="39"/>
      <c r="F38" s="42"/>
    </row>
    <row r="40">
      <c r="B40" s="39"/>
      <c r="D40" s="48"/>
      <c r="E40" s="48"/>
      <c r="F40" s="42"/>
    </row>
    <row r="41">
      <c r="B41" s="39"/>
      <c r="D41" s="48"/>
      <c r="E41" s="48"/>
      <c r="F41" s="42"/>
    </row>
  </sheetData>
  <mergeCells count="4">
    <mergeCell ref="A1:D1"/>
    <mergeCell ref="A2:D2"/>
    <mergeCell ref="A3:D3"/>
    <mergeCell ref="A28:D28"/>
  </mergeCells>
  <hyperlinks>
    <hyperlink r:id="rId1" ref="B5"/>
    <hyperlink r:id="rId2" ref="B6"/>
    <hyperlink r:id="rId3" ref="B7"/>
    <hyperlink r:id="rId4" ref="B11"/>
    <hyperlink r:id="rId5" ref="B15"/>
    <hyperlink r:id="rId6" ref="B16"/>
    <hyperlink r:id="rId7" ref="B18"/>
    <hyperlink r:id="rId8" ref="B20"/>
    <hyperlink r:id="rId9" ref="B21"/>
    <hyperlink r:id="rId10" ref="B23"/>
    <hyperlink r:id="rId11" ref="B30"/>
    <hyperlink r:id="rId12" ref="B31"/>
    <hyperlink r:id="rId13" ref="B32"/>
  </hyperlinks>
  <drawing r:id="rId14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5" max="5" width="18.29"/>
  </cols>
  <sheetData>
    <row r="1">
      <c r="A1" s="57" t="s">
        <v>192</v>
      </c>
      <c r="B1" s="57" t="s">
        <v>193</v>
      </c>
      <c r="C1" s="57" t="s">
        <v>194</v>
      </c>
      <c r="D1" s="57" t="s">
        <v>195</v>
      </c>
      <c r="E1" s="57" t="s">
        <v>196</v>
      </c>
      <c r="F1" s="57" t="s">
        <v>197</v>
      </c>
      <c r="G1" s="57" t="s">
        <v>198</v>
      </c>
      <c r="H1" s="57" t="s">
        <v>199</v>
      </c>
    </row>
    <row r="2">
      <c r="A2" s="58" t="s">
        <v>200</v>
      </c>
      <c r="B2" s="58">
        <v>0.0</v>
      </c>
      <c r="C2" s="58">
        <v>0.0</v>
      </c>
      <c r="D2" s="58">
        <f t="shared" ref="D2:D13" si="1">C2-H2</f>
        <v>0</v>
      </c>
      <c r="E2" s="58"/>
      <c r="F2" s="58"/>
      <c r="G2" s="58"/>
      <c r="H2" s="58">
        <v>0.0</v>
      </c>
    </row>
    <row r="3">
      <c r="A3" s="58" t="s">
        <v>201</v>
      </c>
      <c r="B3" s="58">
        <v>40000.0</v>
      </c>
      <c r="C3" s="58">
        <v>3068.0</v>
      </c>
      <c r="D3" s="58">
        <f t="shared" si="1"/>
        <v>3068</v>
      </c>
      <c r="E3" s="58">
        <v>1800.0</v>
      </c>
      <c r="F3" s="58">
        <v>1038.0</v>
      </c>
      <c r="G3" s="58">
        <f>230</f>
        <v>230</v>
      </c>
      <c r="H3" s="58">
        <v>0.0</v>
      </c>
    </row>
    <row r="4">
      <c r="A4" s="58" t="s">
        <v>202</v>
      </c>
      <c r="B4" s="58">
        <v>40000.0</v>
      </c>
      <c r="C4" s="58">
        <v>2680.0</v>
      </c>
      <c r="D4" s="58">
        <f t="shared" si="1"/>
        <v>2680</v>
      </c>
      <c r="E4" s="58">
        <v>1800.0</v>
      </c>
      <c r="F4" s="58">
        <v>430.0</v>
      </c>
      <c r="G4" s="58">
        <v>450.0</v>
      </c>
      <c r="H4" s="58">
        <v>0.0</v>
      </c>
    </row>
    <row r="5">
      <c r="A5" s="58" t="s">
        <v>203</v>
      </c>
      <c r="B5" s="58">
        <v>40000.0</v>
      </c>
      <c r="C5" s="58">
        <f>950+1900</f>
        <v>2850</v>
      </c>
      <c r="D5" s="58">
        <f t="shared" si="1"/>
        <v>2850</v>
      </c>
      <c r="E5" s="58">
        <v>1945.0</v>
      </c>
      <c r="F5" s="58">
        <v>100.0</v>
      </c>
      <c r="G5" s="58">
        <v>850.0</v>
      </c>
      <c r="H5" s="58">
        <v>0.0</v>
      </c>
    </row>
    <row r="6">
      <c r="A6" s="58" t="s">
        <v>204</v>
      </c>
      <c r="B6" s="58">
        <v>38000.0</v>
      </c>
      <c r="C6" s="58">
        <f>197.46+2331</f>
        <v>2528.46</v>
      </c>
      <c r="D6" s="58">
        <f t="shared" si="1"/>
        <v>2528.46</v>
      </c>
      <c r="E6" s="58">
        <v>2331.0</v>
      </c>
      <c r="F6" s="58">
        <v>90.0</v>
      </c>
      <c r="G6" s="58">
        <v>107.0</v>
      </c>
      <c r="H6" s="58">
        <v>0.0</v>
      </c>
    </row>
    <row r="7">
      <c r="A7" s="58" t="s">
        <v>205</v>
      </c>
      <c r="B7" s="58">
        <v>40000.0</v>
      </c>
      <c r="C7" s="58">
        <f>566+2800</f>
        <v>3366</v>
      </c>
      <c r="D7" s="58">
        <f t="shared" si="1"/>
        <v>3366</v>
      </c>
      <c r="E7" s="58">
        <v>2800.0</v>
      </c>
      <c r="F7" s="58">
        <v>120.0</v>
      </c>
      <c r="G7" s="58">
        <v>446.0</v>
      </c>
      <c r="H7" s="58">
        <v>0.0</v>
      </c>
    </row>
    <row r="8">
      <c r="A8" s="58" t="s">
        <v>206</v>
      </c>
      <c r="B8" s="58">
        <v>40000.0</v>
      </c>
      <c r="C8" s="58">
        <v>6583.0</v>
      </c>
      <c r="D8" s="58">
        <f t="shared" si="1"/>
        <v>845</v>
      </c>
      <c r="E8" s="58">
        <v>6000.0</v>
      </c>
      <c r="F8" s="58">
        <v>362.0</v>
      </c>
      <c r="G8" s="58">
        <v>221.0</v>
      </c>
      <c r="H8" s="58">
        <v>5738.0</v>
      </c>
    </row>
    <row r="9">
      <c r="A9" s="58" t="s">
        <v>207</v>
      </c>
      <c r="B9" s="58">
        <v>40000.0</v>
      </c>
      <c r="C9" s="58">
        <v>6176.8</v>
      </c>
      <c r="D9" s="58">
        <f t="shared" si="1"/>
        <v>0</v>
      </c>
      <c r="E9" s="58">
        <f>3790+996</f>
        <v>4786</v>
      </c>
      <c r="F9" s="58">
        <v>728.8</v>
      </c>
      <c r="G9" s="58">
        <v>662.0</v>
      </c>
      <c r="H9" s="58">
        <v>6176.8</v>
      </c>
    </row>
    <row r="10">
      <c r="A10" s="58" t="s">
        <v>208</v>
      </c>
      <c r="B10" s="58">
        <v>40000.0</v>
      </c>
      <c r="C10" s="58">
        <v>5462.0</v>
      </c>
      <c r="D10" s="58">
        <f t="shared" si="1"/>
        <v>3030</v>
      </c>
      <c r="E10" s="58">
        <v>2990.0</v>
      </c>
      <c r="F10" s="58">
        <v>1080.0</v>
      </c>
      <c r="G10" s="58">
        <v>362.0</v>
      </c>
      <c r="H10" s="59">
        <f>2*1216</f>
        <v>2432</v>
      </c>
    </row>
    <row r="11">
      <c r="A11" s="58" t="s">
        <v>209</v>
      </c>
      <c r="B11" s="58">
        <v>42000.0</v>
      </c>
      <c r="C11" s="58">
        <v>1247.0</v>
      </c>
      <c r="D11" s="58">
        <f t="shared" si="1"/>
        <v>1247</v>
      </c>
      <c r="E11" s="58">
        <v>0.0</v>
      </c>
      <c r="F11" s="58">
        <v>710.0</v>
      </c>
      <c r="G11" s="58">
        <v>537.0</v>
      </c>
      <c r="H11" s="58">
        <v>0.0</v>
      </c>
    </row>
    <row r="12">
      <c r="A12" s="58" t="s">
        <v>210</v>
      </c>
      <c r="B12" s="58">
        <v>42000.0</v>
      </c>
      <c r="C12" s="58">
        <v>3113.0</v>
      </c>
      <c r="D12" s="58">
        <f t="shared" si="1"/>
        <v>2000</v>
      </c>
      <c r="E12" s="58">
        <v>2000.0</v>
      </c>
      <c r="F12" s="58">
        <v>480.0</v>
      </c>
      <c r="G12" s="58">
        <v>633.0</v>
      </c>
      <c r="H12" s="58">
        <v>1113.0</v>
      </c>
    </row>
    <row r="13">
      <c r="A13" s="58" t="s">
        <v>211</v>
      </c>
      <c r="B13" s="58">
        <v>44000.0</v>
      </c>
      <c r="C13" s="58">
        <v>11705.0</v>
      </c>
      <c r="D13" s="58">
        <f t="shared" si="1"/>
        <v>8205</v>
      </c>
      <c r="E13" s="58">
        <v>4137.0</v>
      </c>
      <c r="F13" s="58">
        <f>1240+1200+1500</f>
        <v>3940</v>
      </c>
      <c r="G13" s="58">
        <v>3628.0</v>
      </c>
      <c r="H13" s="58">
        <v>3500.0</v>
      </c>
    </row>
    <row r="14">
      <c r="A14" s="59"/>
      <c r="B14" s="59"/>
      <c r="C14" s="59"/>
      <c r="D14" s="59"/>
      <c r="E14" s="59"/>
      <c r="F14" s="59"/>
      <c r="G14" s="59"/>
      <c r="H14" s="59"/>
    </row>
    <row r="15">
      <c r="A15" s="57" t="s">
        <v>155</v>
      </c>
      <c r="B15" s="57">
        <v>44000.0</v>
      </c>
      <c r="C15" s="60">
        <f t="shared" ref="C15:H15" si="2">SUM(C2:C13)</f>
        <v>48779.26</v>
      </c>
      <c r="D15" s="60">
        <f t="shared" si="2"/>
        <v>29819.46</v>
      </c>
      <c r="E15" s="60">
        <f t="shared" si="2"/>
        <v>30589</v>
      </c>
      <c r="F15" s="60">
        <f t="shared" si="2"/>
        <v>9078.8</v>
      </c>
      <c r="G15" s="60">
        <f t="shared" si="2"/>
        <v>8126</v>
      </c>
      <c r="H15" s="60">
        <f t="shared" si="2"/>
        <v>18959.8</v>
      </c>
    </row>
    <row r="16">
      <c r="A16" s="57" t="s">
        <v>212</v>
      </c>
      <c r="D16" s="1">
        <f>(D15/B15)*100</f>
        <v>67.7715</v>
      </c>
      <c r="E16" s="1">
        <f>(E15/B15)*100</f>
        <v>69.52045455</v>
      </c>
      <c r="F16" s="1">
        <f t="shared" ref="F16:G16" si="3">(F15/105000)*100</f>
        <v>8.64647619</v>
      </c>
      <c r="G16" s="1">
        <f t="shared" si="3"/>
        <v>7.739047619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2025-02-28T22:43:31Z</dcterms:created>
  <dc:creator>niket shah</dc:creator>
</cp:coreProperties>
</file>